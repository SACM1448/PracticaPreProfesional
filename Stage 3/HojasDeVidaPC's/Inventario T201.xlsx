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ownloads\PracticaPreProfesional\Stage 3\"/>
    </mc:Choice>
  </mc:AlternateContent>
  <xr:revisionPtr revIDLastSave="0" documentId="13_ncr:1_{DBC639F4-CC69-4179-A478-DD742B9F345B}" xr6:coauthVersionLast="47" xr6:coauthVersionMax="47" xr10:uidLastSave="{00000000-0000-0000-0000-000000000000}"/>
  <bookViews>
    <workbookView xWindow="-108" yWindow="-108" windowWidth="23256" windowHeight="12456" activeTab="1" xr2:uid="{D5300A35-BABF-43D0-9257-692615CF1487}"/>
  </bookViews>
  <sheets>
    <sheet name="T201 Digital" sheetId="1" r:id="rId1"/>
    <sheet name="T201 Analogo" sheetId="2" r:id="rId2"/>
  </sheets>
  <definedNames>
    <definedName name="_xlnm._FilterDatabase" localSheetId="1" hidden="1">'T201 Analogo'!$A$1:$W$1</definedName>
    <definedName name="_xlnm._FilterDatabase" localSheetId="0" hidden="1">'T201 Digital'!$A$1:$T$1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" l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E18" i="1"/>
  <c r="S2" i="2"/>
  <c r="S3" i="2"/>
  <c r="S4" i="2"/>
  <c r="S5" i="2"/>
  <c r="S6" i="2"/>
  <c r="T2" i="2"/>
  <c r="T3" i="2"/>
  <c r="T4" i="2"/>
  <c r="T5" i="2"/>
  <c r="T6" i="2"/>
  <c r="P2" i="2"/>
  <c r="P3" i="2"/>
  <c r="P4" i="2"/>
  <c r="P5" i="2"/>
  <c r="P6" i="2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AK19" i="1" l="1"/>
</calcChain>
</file>

<file path=xl/sharedStrings.xml><?xml version="1.0" encoding="utf-8"?>
<sst xmlns="http://schemas.openxmlformats.org/spreadsheetml/2006/main" count="843" uniqueCount="235">
  <si>
    <t>Hostname</t>
  </si>
  <si>
    <t>Numero de Equipo</t>
  </si>
  <si>
    <t>CPU</t>
  </si>
  <si>
    <t>RAM (Capacidad en GB)</t>
  </si>
  <si>
    <t>S.O.</t>
  </si>
  <si>
    <t>Modelo</t>
  </si>
  <si>
    <t>HDD</t>
  </si>
  <si>
    <t>SSD</t>
  </si>
  <si>
    <t>Fabricante</t>
  </si>
  <si>
    <t>Serial</t>
  </si>
  <si>
    <t>GPU</t>
  </si>
  <si>
    <t>Dirección IPV4</t>
  </si>
  <si>
    <t>Dirección IPV6</t>
  </si>
  <si>
    <t>Dirección MAC</t>
  </si>
  <si>
    <t>Dominio</t>
  </si>
  <si>
    <t>Fecha de adquisición</t>
  </si>
  <si>
    <t>Tiempo de Uso</t>
  </si>
  <si>
    <t>Unidad</t>
  </si>
  <si>
    <t>Vigencia Garantía</t>
  </si>
  <si>
    <t xml:space="preserve">Activos fijos </t>
  </si>
  <si>
    <t>Usuario</t>
  </si>
  <si>
    <t>Contraseña</t>
  </si>
  <si>
    <t>Valor
Adquisición</t>
  </si>
  <si>
    <t>Pantalla_p</t>
  </si>
  <si>
    <t>Modelo_p</t>
  </si>
  <si>
    <t>Serial_p</t>
  </si>
  <si>
    <t>Activo Fijo_p</t>
  </si>
  <si>
    <t>Fecha de adquisición2</t>
  </si>
  <si>
    <t>Valor
Adquisición2</t>
  </si>
  <si>
    <t>Vigencia de garantía</t>
  </si>
  <si>
    <t>Tiempo de Uso_p</t>
  </si>
  <si>
    <t>Unidad_p</t>
  </si>
  <si>
    <t xml:space="preserve">Teclado </t>
  </si>
  <si>
    <t>N° Teclado</t>
  </si>
  <si>
    <t>Mouse</t>
  </si>
  <si>
    <t xml:space="preserve">N° Mouse </t>
  </si>
  <si>
    <t>Valor Total del equipo</t>
  </si>
  <si>
    <t>Preventivo</t>
  </si>
  <si>
    <t>Correctivo</t>
  </si>
  <si>
    <t>Fecha</t>
  </si>
  <si>
    <t>Ejecutado Por</t>
  </si>
  <si>
    <t>Observación</t>
  </si>
  <si>
    <t>Preventivo2</t>
  </si>
  <si>
    <t>Correctivo2</t>
  </si>
  <si>
    <t>Fecha2</t>
  </si>
  <si>
    <t>Ejecutado Por2</t>
  </si>
  <si>
    <t>Observacion2</t>
  </si>
  <si>
    <t>Preventivo3</t>
  </si>
  <si>
    <t>Correctivo3</t>
  </si>
  <si>
    <t>Fecha3</t>
  </si>
  <si>
    <t>Ejecutado Por3</t>
  </si>
  <si>
    <t>Observacion3</t>
  </si>
  <si>
    <t>Preventivo4</t>
  </si>
  <si>
    <t>Correctivo4</t>
  </si>
  <si>
    <t>Fecha4</t>
  </si>
  <si>
    <t>Ejecutado Por4</t>
  </si>
  <si>
    <t>Observacion4</t>
  </si>
  <si>
    <t>Art-ET20113</t>
  </si>
  <si>
    <t xml:space="preserve"> Intel(R) Core(TM) i7-11700 </t>
  </si>
  <si>
    <t>32 GB DDR4</t>
  </si>
  <si>
    <t>Microsoft Windows 11 Enterprise</t>
  </si>
  <si>
    <t>Precision 3650 Tower</t>
  </si>
  <si>
    <t>1 TB</t>
  </si>
  <si>
    <t>256 GB</t>
  </si>
  <si>
    <t>Dell Inc.</t>
  </si>
  <si>
    <t>84HZKM3</t>
  </si>
  <si>
    <t xml:space="preserve"> AMD Radeon Pro W5500</t>
  </si>
  <si>
    <t>157.253.26.32</t>
  </si>
  <si>
    <t xml:space="preserve"> fe80::164b:1d73:cf6b:1e4</t>
  </si>
  <si>
    <t>90:8D:6E:5C:9E:47</t>
  </si>
  <si>
    <t>ad.uniandes.edu.co</t>
  </si>
  <si>
    <t>Meses</t>
  </si>
  <si>
    <t>.\Estudiantes</t>
  </si>
  <si>
    <t>T201ndceper</t>
  </si>
  <si>
    <t>WACOM</t>
  </si>
  <si>
    <t>DTH167</t>
  </si>
  <si>
    <t>2CQ0191001461</t>
  </si>
  <si>
    <t>DELL KB216t</t>
  </si>
  <si>
    <t>DELL MS116c</t>
  </si>
  <si>
    <t>Si</t>
  </si>
  <si>
    <t>No</t>
  </si>
  <si>
    <t>Técnico de Salas</t>
  </si>
  <si>
    <t>Actualización de Software</t>
  </si>
  <si>
    <t>SI</t>
  </si>
  <si>
    <t>NO</t>
  </si>
  <si>
    <t>Wilson Castillo DSIT</t>
  </si>
  <si>
    <t>Formateo de los equipos de cómputo Caso: 00325403</t>
  </si>
  <si>
    <t>Semana del 2-5 de octubre de 2023</t>
  </si>
  <si>
    <t>Actualización de la BIOS por DELL Command update.</t>
  </si>
  <si>
    <t xml:space="preserve">    </t>
  </si>
  <si>
    <t>Art-ET20112</t>
  </si>
  <si>
    <t>74HZKM3</t>
  </si>
  <si>
    <t>157.253.26.66</t>
  </si>
  <si>
    <t xml:space="preserve"> fe80::6953:fc1c:5fd:c7ab</t>
  </si>
  <si>
    <t>90:8D:6E:5C:88:35</t>
  </si>
  <si>
    <t>2CQ0191001491</t>
  </si>
  <si>
    <t>Art-ET20111</t>
  </si>
  <si>
    <t>GBDZKM3</t>
  </si>
  <si>
    <t>157.253.26.54</t>
  </si>
  <si>
    <t xml:space="preserve"> fe80::9cfa:f314:a83c:198e</t>
  </si>
  <si>
    <t>90:8D:6E:5C:E9:A8</t>
  </si>
  <si>
    <t>2CQ0191001494</t>
  </si>
  <si>
    <t>Art-ET20110</t>
  </si>
  <si>
    <t>54HZKM3</t>
  </si>
  <si>
    <t>157.253.26.56</t>
  </si>
  <si>
    <t xml:space="preserve"> fe80::9cff:229c:7812:5218</t>
  </si>
  <si>
    <t>90:8D:6E:5C:96:29</t>
  </si>
  <si>
    <t>2CQ0191001454</t>
  </si>
  <si>
    <t xml:space="preserve">       </t>
  </si>
  <si>
    <t>Art-ET20109</t>
  </si>
  <si>
    <t>3CDZKM3</t>
  </si>
  <si>
    <t>157.253.26.179</t>
  </si>
  <si>
    <t xml:space="preserve"> fe80::da28:7383:c427:7b5e</t>
  </si>
  <si>
    <t>90:8D:6E:5C:DF:F2</t>
  </si>
  <si>
    <t>2CQ0191001471</t>
  </si>
  <si>
    <t>Art-ET20108</t>
  </si>
  <si>
    <t>9BDZKM3</t>
  </si>
  <si>
    <t>157.253.26.90</t>
  </si>
  <si>
    <t xml:space="preserve"> fe80::ff12:9133:196:dd95</t>
  </si>
  <si>
    <t>90:8D:6E:5C:C3:E2</t>
  </si>
  <si>
    <t>2CQ0191001474</t>
  </si>
  <si>
    <t>Art-ET20107</t>
  </si>
  <si>
    <t>8CDZKM3</t>
  </si>
  <si>
    <t>157.253.26.76</t>
  </si>
  <si>
    <t xml:space="preserve"> fe80::37a:cdcf:f887:35ff</t>
  </si>
  <si>
    <t>90:8D:6E:5C:A7:0D</t>
  </si>
  <si>
    <t>2CQ0191001476</t>
  </si>
  <si>
    <t>Art-ET20106</t>
  </si>
  <si>
    <t>CCDZKM3</t>
  </si>
  <si>
    <t>157.253.26.104</t>
  </si>
  <si>
    <t xml:space="preserve"> fe80::3d0d:59b3:e8b8:68d7</t>
  </si>
  <si>
    <t>90:8D:6E:5C:AB:1C</t>
  </si>
  <si>
    <t>2CQ0191001465</t>
  </si>
  <si>
    <t>Art-ET20121</t>
  </si>
  <si>
    <t>FCDZKM3</t>
  </si>
  <si>
    <t>157.253.26.240</t>
  </si>
  <si>
    <t xml:space="preserve"> fe80::febd:ad6b:e094:e520</t>
  </si>
  <si>
    <t>90:8D:6E:5C:A7:14</t>
  </si>
  <si>
    <t>2CQ0191001464</t>
  </si>
  <si>
    <t>ARt-ET20120</t>
  </si>
  <si>
    <t>5CDZKM3</t>
  </si>
  <si>
    <t>157.253.26.79</t>
  </si>
  <si>
    <t xml:space="preserve"> fe80::f7bc:500e:e6ac:ae57</t>
  </si>
  <si>
    <t>90:8D:6E:5C:DE:CD</t>
  </si>
  <si>
    <t>2CQ0191001475</t>
  </si>
  <si>
    <t>Art-ET20119</t>
  </si>
  <si>
    <t>GCDZKM3</t>
  </si>
  <si>
    <t>157.253.26.193</t>
  </si>
  <si>
    <t>fe80::c7eb:c910:b189:a480</t>
  </si>
  <si>
    <t>90:8D:6E:5C:9E:5F</t>
  </si>
  <si>
    <t>2CQ0191001456</t>
  </si>
  <si>
    <t>Personal DSIT</t>
  </si>
  <si>
    <t>Cambio memoria RAM Caso: 310945</t>
  </si>
  <si>
    <t>Art-ET20118</t>
  </si>
  <si>
    <t>2CDZKM3</t>
  </si>
  <si>
    <t>157.253.26.81</t>
  </si>
  <si>
    <t xml:space="preserve"> fe80::b5a:f175:3a87:8fcd</t>
  </si>
  <si>
    <t>90:8D:6E:5C:DD:B8</t>
  </si>
  <si>
    <t>2CQ0191001455</t>
  </si>
  <si>
    <t>Art-ET20117</t>
  </si>
  <si>
    <t>2DDZKM3</t>
  </si>
  <si>
    <t>157.253.26.93</t>
  </si>
  <si>
    <t xml:space="preserve"> fe80::f0b9:2841:cc7a:6c13</t>
  </si>
  <si>
    <t>90:8D:6E:5C:9E:4C</t>
  </si>
  <si>
    <t>2CQ0191001452</t>
  </si>
  <si>
    <t>José Pinzón DSIT</t>
  </si>
  <si>
    <t>Limpieza Memoria RAM y Diagnostico Caso: 319452</t>
  </si>
  <si>
    <t>Art-ET20116</t>
  </si>
  <si>
    <t>7CDZKM3</t>
  </si>
  <si>
    <t>157.253.26.180</t>
  </si>
  <si>
    <t xml:space="preserve"> fe80::cf02:b954:603f:9f19</t>
  </si>
  <si>
    <t>90:8D:6E:5C:DF:ED</t>
  </si>
  <si>
    <t>2CQ0191001490</t>
  </si>
  <si>
    <t>Art-ET20115</t>
  </si>
  <si>
    <t>8BDZKM3</t>
  </si>
  <si>
    <t>157.253.26.85</t>
  </si>
  <si>
    <t xml:space="preserve"> fe80::dd12:14a0:11a2:29</t>
  </si>
  <si>
    <t>90:8D:6E:5C:E0:1A</t>
  </si>
  <si>
    <t>2CQ0191001492</t>
  </si>
  <si>
    <t>Art-ET20114</t>
  </si>
  <si>
    <t>FBDZKM3</t>
  </si>
  <si>
    <t>157.253.26.120</t>
  </si>
  <si>
    <t xml:space="preserve"> fe80::990:69f7:45c7:e848</t>
  </si>
  <si>
    <t>90:8D:6E:5C:C4:03</t>
  </si>
  <si>
    <t>2CQ0191001463</t>
  </si>
  <si>
    <t>ART-ET20122</t>
  </si>
  <si>
    <t>64HZKM3</t>
  </si>
  <si>
    <t>157.253.26.219</t>
  </si>
  <si>
    <t xml:space="preserve"> fe80::7675:b60a:df0d:f952</t>
  </si>
  <si>
    <t>90:8D:6E:5C:AD:29</t>
  </si>
  <si>
    <t>DTK-2420</t>
  </si>
  <si>
    <t>2BH00F1000879</t>
  </si>
  <si>
    <t>Tiempo de uso</t>
  </si>
  <si>
    <t xml:space="preserve">Días para fin de la Garantía </t>
  </si>
  <si>
    <t>Días de Garantía</t>
  </si>
  <si>
    <t>ART-ET20101</t>
  </si>
  <si>
    <t xml:space="preserve">  Intel(R) Core(TM) i7-11700 </t>
  </si>
  <si>
    <t>32 GB DDR</t>
  </si>
  <si>
    <t>Microsoft Windows 11 Pro</t>
  </si>
  <si>
    <t>OptiPlex 5090</t>
  </si>
  <si>
    <t>1TB</t>
  </si>
  <si>
    <t>512GB</t>
  </si>
  <si>
    <t>JKD80R3</t>
  </si>
  <si>
    <t xml:space="preserve">Radeon 550 </t>
  </si>
  <si>
    <t>157.253.26.154</t>
  </si>
  <si>
    <t xml:space="preserve"> fe80::5439:91a3:7726:ba2a</t>
  </si>
  <si>
    <t>74:86:E2:38:31:90</t>
  </si>
  <si>
    <t>WORKGROUP</t>
  </si>
  <si>
    <t>DELL</t>
  </si>
  <si>
    <t>P2422H</t>
  </si>
  <si>
    <t>CN-0101CF-TV200-25-07ML-A01</t>
  </si>
  <si>
    <t>DELL SK-8120</t>
  </si>
  <si>
    <t>ART-ET20102</t>
  </si>
  <si>
    <t>GKD80R3</t>
  </si>
  <si>
    <t>157.253.26.91</t>
  </si>
  <si>
    <t xml:space="preserve"> fe80::e836:879a:d43a:994a</t>
  </si>
  <si>
    <t>74:86:E2:38:31:C6</t>
  </si>
  <si>
    <t>CN-0101CF-TV200-25-0NJL-A01</t>
  </si>
  <si>
    <t>ART-ET20103</t>
  </si>
  <si>
    <t>9KD80R3</t>
  </si>
  <si>
    <t>157.253.26.147</t>
  </si>
  <si>
    <t xml:space="preserve"> fe80::153d:3f8d:9ec1:c321</t>
  </si>
  <si>
    <t>74:86:E2:38:31:A7</t>
  </si>
  <si>
    <t>CN-0101CF-TV200-25-0MYL-A01</t>
  </si>
  <si>
    <t>ART-ET20104</t>
  </si>
  <si>
    <t>2LD80R3</t>
  </si>
  <si>
    <t xml:space="preserve"> fe80::f794:a95c:14c0:54c4</t>
  </si>
  <si>
    <t>74:86:E2:38:31:7A</t>
  </si>
  <si>
    <t>CN-0101CF-TV200-25-0MWL-A01</t>
  </si>
  <si>
    <t>ART-ET20105</t>
  </si>
  <si>
    <t>FKD80R3</t>
  </si>
  <si>
    <t>157.253.26.51</t>
  </si>
  <si>
    <t xml:space="preserve"> fe80::27a1:5071:e92e:3109</t>
  </si>
  <si>
    <t>74:86:E2:38:31:BA</t>
  </si>
  <si>
    <t>CN-0101CF-TV200-25-07GL-A01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</si>
</sst>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Arial Black"/>
    </font>
    <font>
      <b/>
      <sz val="11"/>
      <color theme="1" tint="4.9989318521683403E-2"/>
      <name val="Arial Black"/>
    </font>
    <font>
      <strike/>
      <sz val="11"/>
      <color theme="1" tint="4.9989318521683403E-2"/>
      <name val="Arial Black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1" fontId="2" fillId="6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6" borderId="3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165" fontId="2" fillId="5" borderId="3" xfId="0" applyNumberFormat="1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9" formatCode="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9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9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8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8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 tint="4.9989318521683403E-2"/>
        <name val="Arial Black"/>
      </font>
      <alignment horizontal="center" vertical="center" textRotation="0" wrapText="1" indent="0" justifyLastLine="0" shrinkToFit="0" readingOrder="0"/>
    </dxf>
    <dxf>
      <font>
        <color theme="1" tint="4.9989318521683403E-2"/>
        <name val="Arial Black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color theme="1" tint="4.9989318521683403E-2"/>
        <name val="Arial Black"/>
      </font>
      <fill>
        <patternFill patternType="solid">
          <fgColor indexed="64"/>
          <bgColor theme="5"/>
        </patternFill>
      </fill>
      <alignment horizont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4" formatCode="#,##0.00\ &quot;€&quot;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4" formatCode="#,##0.00\ &quot;€&quot;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color theme="1" tint="4.9989318521683403E-2"/>
        <name val="Arial Black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5" formatCode="_-[$$-409]* #,##0.00_ ;_-[$$-409]* \-#,##0.00\ ;_-[$$-409]* &quot;-&quot;??_ ;_-@_ 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5" formatCode="_-[$$-409]* #,##0.00_ ;_-[$$-409]* \-#,##0.00\ ;_-[$$-409]* &quot;-&quot;??_ ;_-@_ 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" formatCode="0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numFmt numFmtId="166" formatCode="dd/mm/yyyy"/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fill>
        <patternFill patternType="none">
          <fgColor indexed="64"/>
          <bgColor theme="4"/>
        </patternFill>
      </fill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 Black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color theme="1" tint="4.9989318521683403E-2"/>
        <name val="Arial Black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C8668-D18B-4360-99E8-5756AD014DC4}" name="Tabla1" displayName="Tabla1" ref="A1:BE19" totalsRowCount="1" headerRowDxfId="228" dataDxfId="226" headerRowBorderDxfId="227" tableBorderDxfId="225" totalsRowBorderDxfId="224">
  <autoFilter ref="A1:BE18" xr:uid="{A04C8668-D18B-4360-99E8-5756AD014DC4}"/>
  <tableColumns count="57">
    <tableColumn id="1" xr3:uid="{D38118AE-0FFA-4B19-A53E-66FFACDBA72F}" name="Hostname" dataDxfId="223" totalsRowDxfId="222"/>
    <tableColumn id="52" xr3:uid="{67CF6A1B-EB24-4762-AD4F-9666825945B1}" name="Numero de Equipo" dataDxfId="221" totalsRowDxfId="220"/>
    <tableColumn id="2" xr3:uid="{37CC7807-2407-40F7-AE03-D6A46168704E}" name="CPU" dataDxfId="219" totalsRowDxfId="218"/>
    <tableColumn id="3" xr3:uid="{842B2A2A-E5AE-4187-8FD7-B35F002AACD6}" name="RAM (Capacidad en GB)" dataDxfId="217" totalsRowDxfId="216"/>
    <tableColumn id="4" xr3:uid="{F27FB396-0515-4AEC-BB38-5ECCFE618B59}" name="S.O." dataDxfId="215" totalsRowDxfId="214"/>
    <tableColumn id="5" xr3:uid="{359D237F-752B-4344-846D-32107FD2FC39}" name="Modelo" dataDxfId="213" totalsRowDxfId="212"/>
    <tableColumn id="6" xr3:uid="{51340853-9EA6-41B6-8607-A0FD152EC7C5}" name="HDD" dataDxfId="211" totalsRowDxfId="210"/>
    <tableColumn id="7" xr3:uid="{1D4F96D5-A4AF-4D3D-8617-FD46F3E352B6}" name="SSD" dataDxfId="209" totalsRowDxfId="208"/>
    <tableColumn id="8" xr3:uid="{28C19398-3481-400E-85EC-D1D15FBA49FF}" name="Fabricante" dataDxfId="207" totalsRowDxfId="206"/>
    <tableColumn id="9" xr3:uid="{0FDA9D7D-8C4C-4B34-96F0-427739226995}" name="Serial" dataDxfId="205" totalsRowDxfId="204"/>
    <tableColumn id="10" xr3:uid="{40FF5DDA-7A2B-4F5D-9C80-78F7B26D8F32}" name="GPU" dataDxfId="203" totalsRowDxfId="202"/>
    <tableColumn id="11" xr3:uid="{D6F542FE-A8A8-4998-AC1C-79BF37E3F97C}" name="Dirección IPV4" dataDxfId="201" totalsRowDxfId="200"/>
    <tableColumn id="12" xr3:uid="{2D5E637E-8874-406B-8310-6475CB9DA056}" name="Dirección IPV6" dataDxfId="199" totalsRowDxfId="198"/>
    <tableColumn id="13" xr3:uid="{DA112D15-47E8-4D82-93D9-5D97F614B990}" name="Dirección MAC" dataDxfId="197" totalsRowDxfId="196"/>
    <tableColumn id="14" xr3:uid="{E63EED4F-4E28-480F-9A27-78E976770D1F}" name="Dominio" dataDxfId="195" totalsRowDxfId="194"/>
    <tableColumn id="15" xr3:uid="{26C48D5B-E95D-4057-B0C4-7714DB24522E}" name="Fecha de adquisición" dataDxfId="193" totalsRowDxfId="192"/>
    <tableColumn id="32" xr3:uid="{B7ECFBF4-D1C8-4940-8ECF-ED334EA871A1}" name="Tiempo de Uso" dataDxfId="191" totalsRowDxfId="190">
      <calculatedColumnFormula>DATEDIF(P2,TODAY(),"m")</calculatedColumnFormula>
    </tableColumn>
    <tableColumn id="31" xr3:uid="{1CA27E02-BA67-4960-A64A-15B2F4E26A57}" name="Unidad" dataDxfId="189" totalsRowDxfId="188"/>
    <tableColumn id="33" xr3:uid="{F4F4514D-F448-4357-AF20-F867D9797FAC}" name="Vigencia Garantía" dataDxfId="187" totalsRowDxfId="186"/>
    <tableColumn id="16" xr3:uid="{8645475C-D4E5-4103-99AC-95ABC8A753D7}" name="Activos fijos " dataDxfId="185" totalsRowDxfId="184"/>
    <tableColumn id="18" xr3:uid="{956DA062-5BD6-48C3-9588-B5046DDE670D}" name="Usuario" dataDxfId="183" totalsRowDxfId="182"/>
    <tableColumn id="19" xr3:uid="{D573E5A3-9FA6-455E-B85C-F0F542D65439}" name="Contraseña" dataDxfId="181" totalsRowDxfId="180"/>
    <tableColumn id="57" xr3:uid="{90E3D755-4DC9-4A3E-9934-0EC1C4DE1E81}" name="Valor_x000a_Adquisición" dataDxfId="179" totalsRowDxfId="178"/>
    <tableColumn id="20" xr3:uid="{AE2A1FEF-2F87-4F6A-A748-CBCE9CF36518}" name="Pantalla_p" dataDxfId="177" totalsRowDxfId="176"/>
    <tableColumn id="21" xr3:uid="{F3C993FC-9B74-4E57-BFDE-784A7AEB1911}" name="Modelo_p" dataDxfId="175" totalsRowDxfId="174"/>
    <tableColumn id="22" xr3:uid="{4004BB35-202E-4E6C-A535-E00C0DE004FA}" name="Serial_p" dataDxfId="173" totalsRowDxfId="172"/>
    <tableColumn id="23" xr3:uid="{9D5A0F83-FE1E-461B-865D-65D03676F16E}" name="Activo Fijo_p" dataDxfId="171" totalsRowDxfId="170"/>
    <tableColumn id="24" xr3:uid="{A1839840-8A6A-46B6-B0AC-D8729A87C37F}" name="Fecha de adquisición2" dataDxfId="169" totalsRowDxfId="168"/>
    <tableColumn id="58" xr3:uid="{7019906C-70E1-4207-BE84-BF726F8EEBF8}" name="Valor_x000a_Adquisición2" dataDxfId="167" totalsRowDxfId="166"/>
    <tableColumn id="37" xr3:uid="{6B375C9D-C597-4EA1-9F64-EDF9B1E35D9F}" name="Vigencia de garantía" dataDxfId="165" totalsRowDxfId="164"/>
    <tableColumn id="35" xr3:uid="{26CC96B0-08D2-447E-B00A-51A2F5D3ABCB}" name="Tiempo de Uso_p" dataDxfId="163" totalsRowDxfId="162">
      <calculatedColumnFormula>DATEDIF(AB2,TODAY(),"m")</calculatedColumnFormula>
    </tableColumn>
    <tableColumn id="34" xr3:uid="{7B61F4EA-BAB3-43BE-B2FB-23EF545C7415}" name="Unidad_p" dataDxfId="161" totalsRowDxfId="160"/>
    <tableColumn id="25" xr3:uid="{8A4D2C1E-3E5C-461B-B89B-4D20051C86CA}" name="Teclado " dataDxfId="159" totalsRowDxfId="158"/>
    <tableColumn id="26" xr3:uid="{A7F4871B-A43E-4077-8BFD-43003B3E67E3}" name="N° Teclado" dataDxfId="157" totalsRowDxfId="156"/>
    <tableColumn id="27" xr3:uid="{F706AFCB-4992-4107-84BA-5E269DB7FDFC}" name="Mouse" dataDxfId="155" totalsRowDxfId="154"/>
    <tableColumn id="28" xr3:uid="{DF8E46CC-1A27-4453-AEAE-2ECDE0A02942}" name="N° Mouse " dataDxfId="153" totalsRowDxfId="152"/>
    <tableColumn id="59" xr3:uid="{E8875BDF-678F-4D22-A788-22D065C79A34}" name="Valor Total del equipo" totalsRowFunction="custom" dataDxfId="151" totalsRowDxfId="150">
      <calculatedColumnFormula>AC2+W2</calculatedColumnFormula>
      <totalsRowFormula>SUM(AK2:AK18)</totalsRowFormula>
    </tableColumn>
    <tableColumn id="36" xr3:uid="{89C5DFF2-12B8-4AE1-99E0-355118B8D396}" name="Preventivo" dataDxfId="149" totalsRowDxfId="148"/>
    <tableColumn id="38" xr3:uid="{37225ED3-0AFA-4BFC-B0DE-B3CE422236B0}" name="Correctivo" dataDxfId="147" totalsRowDxfId="146"/>
    <tableColumn id="39" xr3:uid="{1292AE6F-47AC-4CFA-A398-8B6BA76E0624}" name="Fecha" dataDxfId="145" totalsRowDxfId="144"/>
    <tableColumn id="40" xr3:uid="{B4FD67FD-B393-4C6E-B6DB-0490FA72D395}" name="Ejecutado Por" dataDxfId="143" totalsRowDxfId="142"/>
    <tableColumn id="41" xr3:uid="{196D6723-A567-432E-AAD0-2EFF5449501C}" name="Observación" dataDxfId="141" totalsRowDxfId="140"/>
    <tableColumn id="42" xr3:uid="{D11CFC5F-DEB3-42C4-A18D-946FED15FBD8}" name="Preventivo2" dataDxfId="139" totalsRowDxfId="138"/>
    <tableColumn id="43" xr3:uid="{8861E69E-77C4-4B91-8EAF-58089A8431EF}" name="Correctivo2" dataDxfId="137" totalsRowDxfId="136"/>
    <tableColumn id="44" xr3:uid="{67CFB165-8915-4470-BE3A-936458ADA2A1}" name="Fecha2" dataDxfId="135" totalsRowDxfId="134"/>
    <tableColumn id="45" xr3:uid="{7F1123DA-E3FB-4DFF-8373-1EF3C77C51F9}" name="Ejecutado Por2" dataDxfId="133" totalsRowDxfId="132"/>
    <tableColumn id="46" xr3:uid="{63227D2E-A506-4B60-86E1-E89321626598}" name="Observacion2" dataDxfId="131" totalsRowDxfId="130"/>
    <tableColumn id="47" xr3:uid="{83A26821-7447-43BE-86BA-881A65E1A47E}" name="Preventivo3" dataDxfId="129" totalsRowDxfId="128"/>
    <tableColumn id="48" xr3:uid="{4ACBF731-4349-4C57-BCB2-6B4CC8145A58}" name="Correctivo3" dataDxfId="127" totalsRowDxfId="126"/>
    <tableColumn id="49" xr3:uid="{62EEEB80-6253-4EDA-AF6E-E4C65C3C3596}" name="Fecha3" dataDxfId="125" totalsRowDxfId="124"/>
    <tableColumn id="50" xr3:uid="{C3E9C2E7-27B0-4BBA-9961-B2D7949A40CB}" name="Ejecutado Por3" dataDxfId="123" totalsRowDxfId="122"/>
    <tableColumn id="51" xr3:uid="{88B08A92-5406-41C7-9641-6766AE06AC7F}" name="Observacion3" dataDxfId="121" totalsRowDxfId="120"/>
    <tableColumn id="17" xr3:uid="{29868706-E7B5-499F-A1B0-2ABC6D4F79E3}" name="Preventivo4" dataDxfId="119" totalsRowDxfId="118"/>
    <tableColumn id="53" xr3:uid="{E706DA60-2F89-4950-9479-9FF33445B54E}" name="Correctivo4" dataDxfId="117" totalsRowDxfId="116"/>
    <tableColumn id="54" xr3:uid="{B5A4D867-B0B4-43C3-9F32-5ED433BACC20}" name="Fecha4" dataDxfId="115" totalsRowDxfId="114"/>
    <tableColumn id="55" xr3:uid="{DCCACBF6-97F7-4DAF-9C29-E2366371B29C}" name="Ejecutado Por4" dataDxfId="113" totalsRowDxfId="112"/>
    <tableColumn id="56" xr3:uid="{E3BBFBA0-1F08-4831-8E35-A8336AEF1F1C}" name="Observacion4" dataDxfId="111" totalsRowDxfId="1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4E13B-4590-4738-B927-AAD0B0EBA12B}" name="Tabla2" displayName="Tabla2" ref="A1:BB7" totalsRowCount="1" headerRowDxfId="109" dataDxfId="108">
  <autoFilter ref="A1:BB6" xr:uid="{D104E13B-4590-4738-B927-AAD0B0EBA12B}"/>
  <tableColumns count="54">
    <tableColumn id="1" xr3:uid="{8D5A580B-F9C1-4E6D-B89C-3DCF8032824E}" name="Hostname" dataDxfId="107" totalsRowDxfId="53"/>
    <tableColumn id="2" xr3:uid="{DE4BB1CB-40EC-4200-973E-2F905AC115D3}" name="CPU" dataDxfId="106" totalsRowDxfId="52"/>
    <tableColumn id="3" xr3:uid="{170C8DC3-E9C2-4AB7-9EBF-9CEDAE018891}" name="RAM (Capacidad en GB)" dataDxfId="105" totalsRowDxfId="51"/>
    <tableColumn id="4" xr3:uid="{78770314-5C8A-47B8-AB29-A39E32FD02BA}" name="S.O." dataDxfId="104" totalsRowDxfId="50"/>
    <tableColumn id="5" xr3:uid="{C698B05A-2559-4F89-9D79-F1250F8ABE99}" name="Modelo" dataDxfId="103" totalsRowDxfId="49"/>
    <tableColumn id="6" xr3:uid="{F7386411-D3CE-4C80-9AAD-9E5F5096C0C8}" name="HDD" dataDxfId="102" totalsRowDxfId="48"/>
    <tableColumn id="7" xr3:uid="{645A60D4-AE34-4B2A-9FA7-98865B27FD15}" name="SSD" dataDxfId="101" totalsRowDxfId="47"/>
    <tableColumn id="8" xr3:uid="{8A5B5D56-BD16-4866-AB39-2018EEC1B673}" name="Fabricante" dataDxfId="100" totalsRowDxfId="46"/>
    <tableColumn id="9" xr3:uid="{FC5E2D17-A63B-4948-B8FE-380EADAFCDEA}" name="Serial" dataDxfId="99" totalsRowDxfId="45"/>
    <tableColumn id="10" xr3:uid="{F3515F65-752A-4C3D-ACC2-2C342E2B4062}" name="GPU" dataDxfId="98" totalsRowDxfId="44"/>
    <tableColumn id="11" xr3:uid="{29A02F5A-D82A-402B-A247-6C862AAFE53F}" name="Dirección IPV4" dataDxfId="97" totalsRowDxfId="43"/>
    <tableColumn id="12" xr3:uid="{6735F1E0-900E-4277-B72A-5271102EB442}" name="Dirección IPV6" dataDxfId="96" totalsRowDxfId="42"/>
    <tableColumn id="13" xr3:uid="{D44A3CF1-DEBD-49A5-B1BF-7414AED5B6E4}" name="Dirección MAC" dataDxfId="95" totalsRowDxfId="41"/>
    <tableColumn id="14" xr3:uid="{D6D94ABC-117E-4AFC-94E7-9BA71020E91F}" name="Dominio" dataDxfId="94" totalsRowDxfId="40"/>
    <tableColumn id="15" xr3:uid="{8BAD1543-7D76-4FC1-83F0-30F5E1A8733F}" name="Fecha de adquisición" dataDxfId="93" totalsRowDxfId="39"/>
    <tableColumn id="30" xr3:uid="{6A4AD04A-473D-4037-9726-584031963A41}" name="Tiempo de uso" dataDxfId="92" totalsRowDxfId="38">
      <calculatedColumnFormula>DATEDIF(O2,TODAY(),"m")</calculatedColumnFormula>
    </tableColumn>
    <tableColumn id="29" xr3:uid="{EEA8A13A-D522-4042-A992-9FA3A6311C4B}" name="Unidad" dataDxfId="91" totalsRowDxfId="37"/>
    <tableColumn id="31" xr3:uid="{F271C903-3F93-40AA-BA62-6D89FDB77D2A}" name="Vigencia Garantía" dataDxfId="90" totalsRowDxfId="36"/>
    <tableColumn id="32" xr3:uid="{B5C21491-B9AD-49FF-8823-2279645B0B3E}" name="Días para fin de la Garantía " dataDxfId="89" totalsRowDxfId="35">
      <calculatedColumnFormula>DATEDIF(TODAY(),R2,"D")</calculatedColumnFormula>
    </tableColumn>
    <tableColumn id="33" xr3:uid="{2AF36170-446C-4B6D-9A94-AE1388B1E00C}" name="Días de Garantía" dataDxfId="88" totalsRowDxfId="34">
      <calculatedColumnFormula>DATEDIF(O2,R2,"d")</calculatedColumnFormula>
    </tableColumn>
    <tableColumn id="16" xr3:uid="{9E6DEF1F-E81B-4DF7-87DB-50A859A08023}" name="Activos fijos " dataDxfId="87" totalsRowDxfId="33"/>
    <tableColumn id="17" xr3:uid="{A053B6A1-6038-4F28-BEAE-848309412C5A}" name="Numero de Equipo" dataDxfId="86" totalsRowDxfId="32"/>
    <tableColumn id="18" xr3:uid="{9FEC55FE-11DD-4392-AA7D-91E0BBEFDEAD}" name="Usuario" dataDxfId="85" totalsRowDxfId="31"/>
    <tableColumn id="19" xr3:uid="{B5480CAF-C029-4F1B-8437-5A75FDAF8243}" name="Contraseña" dataDxfId="84" totalsRowDxfId="30"/>
    <tableColumn id="55" xr3:uid="{C4A45667-9FAE-4A70-8B2F-CEBB57C0C2BC}" name="Valor_x000a_Adquisición" totalsRowFunction="custom" dataDxfId="83" totalsRowDxfId="29">
      <totalsRowFormula>SUM(Y2:Y6)</totalsRowFormula>
    </tableColumn>
    <tableColumn id="20" xr3:uid="{F4E5C3B0-FAB3-48CD-9D24-216381F0232C}" name="Pantalla_p" dataDxfId="82" totalsRowDxfId="28"/>
    <tableColumn id="21" xr3:uid="{7648778A-9660-4106-A74A-B91A00E4A1FF}" name="Modelo_p" dataDxfId="81" totalsRowDxfId="27"/>
    <tableColumn id="22" xr3:uid="{255F6C60-02AC-4F20-BEE9-2414D915B5FD}" name="Serial_p" dataDxfId="80" totalsRowDxfId="26"/>
    <tableColumn id="23" xr3:uid="{2050572D-9AE0-4A7F-BE56-6EACBD7AB827}" name="Activo Fijo_p" dataDxfId="79" totalsRowDxfId="25"/>
    <tableColumn id="24" xr3:uid="{80BE690C-1B28-4ECD-933B-156E6D1F7D30}" name="Fecha de adquisición2" dataDxfId="78" totalsRowDxfId="24"/>
    <tableColumn id="25" xr3:uid="{12518ADC-72B5-4E05-92B7-23091116339C}" name="Teclado " dataDxfId="77" totalsRowDxfId="23"/>
    <tableColumn id="26" xr3:uid="{33B9469B-3E84-49E6-A532-9F7A06F68829}" name="N° Teclado" dataDxfId="76" totalsRowDxfId="22"/>
    <tableColumn id="27" xr3:uid="{E17A60A4-65C0-4067-BC27-C6366256F312}" name="Mouse" dataDxfId="75" totalsRowDxfId="21"/>
    <tableColumn id="28" xr3:uid="{72AABA93-899B-4C51-9FF0-BF5799179E12}" name="N° Mouse " dataDxfId="74" totalsRowDxfId="20"/>
    <tableColumn id="34" xr3:uid="{EDCC3E7D-21B5-4075-B89A-7952CFCEE74D}" name="Preventivo" dataDxfId="73" totalsRowDxfId="19"/>
    <tableColumn id="35" xr3:uid="{1BD6DE72-DBCA-4008-A9AD-A342230EA299}" name="Correctivo" dataDxfId="72" totalsRowDxfId="18"/>
    <tableColumn id="36" xr3:uid="{72CCDEEA-67E6-4AC7-B5E7-693838C9797E}" name="Fecha" dataDxfId="71" totalsRowDxfId="17"/>
    <tableColumn id="37" xr3:uid="{DDF9B4D5-0ED6-4131-981E-449DFD30FC1F}" name="Ejecutado Por" dataDxfId="70" totalsRowDxfId="16"/>
    <tableColumn id="38" xr3:uid="{61AB268C-BE7D-478C-A98D-392D07E75EA6}" name="Observación" dataDxfId="69" totalsRowDxfId="15"/>
    <tableColumn id="39" xr3:uid="{9059E967-32BE-4598-B756-3578B5A402D8}" name="Preventivo2" dataDxfId="68" totalsRowDxfId="14"/>
    <tableColumn id="40" xr3:uid="{C9EE6CCD-D8B5-4853-B686-8A8FD94E0304}" name="Correctivo2" dataDxfId="67" totalsRowDxfId="13"/>
    <tableColumn id="41" xr3:uid="{B9355190-6ED7-42F9-B4C3-C648DBA2CA17}" name="Fecha2" dataDxfId="66" totalsRowDxfId="12"/>
    <tableColumn id="42" xr3:uid="{FE76A75C-4328-4FEB-A8C7-CE97F078958B}" name="Ejecutado Por2" dataDxfId="65" totalsRowDxfId="11"/>
    <tableColumn id="43" xr3:uid="{A3FD3BFF-AC11-4B21-ACF2-D73F47C9EC64}" name="Observacion2" dataDxfId="64" totalsRowDxfId="10"/>
    <tableColumn id="44" xr3:uid="{77652EDC-6330-4968-A1DE-6134A7986BB4}" name="Preventivo3" dataDxfId="63" totalsRowDxfId="9"/>
    <tableColumn id="45" xr3:uid="{6412707B-8770-4959-B0E4-52A83DC1D222}" name="Correctivo3" dataDxfId="62" totalsRowDxfId="8"/>
    <tableColumn id="46" xr3:uid="{48FF96A2-8476-4DEF-B0D5-C96784A3B808}" name="Fecha3" dataDxfId="61" totalsRowDxfId="7"/>
    <tableColumn id="47" xr3:uid="{98E4623E-2195-496E-AFA9-376327302DF4}" name="Ejecutado Por3" dataDxfId="60" totalsRowDxfId="6"/>
    <tableColumn id="48" xr3:uid="{E043C963-9B5C-406C-B5C7-FBA74B53CC18}" name="Observacion3" dataDxfId="59" totalsRowDxfId="5"/>
    <tableColumn id="49" xr3:uid="{ED06188C-7524-493E-8084-A1C267F0C9CC}" name="Preventivo4" dataDxfId="58" totalsRowDxfId="4"/>
    <tableColumn id="50" xr3:uid="{F506DC3A-DABD-4F85-B3C9-8512102109D4}" name="Correctivo4" dataDxfId="57" totalsRowDxfId="3"/>
    <tableColumn id="51" xr3:uid="{DE5CEB3C-1B70-42B7-B70D-A1E42EF5F61B}" name="Fecha4" dataDxfId="56" totalsRowDxfId="2"/>
    <tableColumn id="52" xr3:uid="{BDE7754B-C89E-4B4D-A732-77FD955802F3}" name="Ejecutado Por4" dataDxfId="55" totalsRowDxfId="1"/>
    <tableColumn id="53" xr3:uid="{8B2B3A1D-7348-4701-A30B-91C781D02A82}" name="Observacion4" dataDxfId="5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1938-C9BD-4B0F-A881-A7C9C78AB4C3}">
  <dimension ref="A1:BE19"/>
  <sheetViews>
    <sheetView topLeftCell="M1" workbookViewId="0">
      <selection activeCell="T1" sqref="T1:U1048576"/>
    </sheetView>
  </sheetViews>
  <sheetFormatPr baseColWidth="10" defaultColWidth="11.44140625" defaultRowHeight="59.25" customHeight="1" x14ac:dyDescent="0.3"/>
  <cols>
    <col min="1" max="1" width="14" style="10" bestFit="1" customWidth="1"/>
    <col min="2" max="2" width="22.88671875" style="10" bestFit="1" customWidth="1"/>
    <col min="3" max="3" width="27.88671875" style="10" bestFit="1" customWidth="1"/>
    <col min="4" max="4" width="22.5546875" style="10" customWidth="1"/>
    <col min="5" max="5" width="33.109375" style="10" bestFit="1" customWidth="1"/>
    <col min="6" max="6" width="21.5546875" style="10" bestFit="1" customWidth="1"/>
    <col min="7" max="7" width="8.5546875" style="10" bestFit="1" customWidth="1"/>
    <col min="8" max="8" width="8.109375" style="10" bestFit="1" customWidth="1"/>
    <col min="9" max="9" width="14.33203125" style="10" bestFit="1" customWidth="1"/>
    <col min="10" max="10" width="15.5546875" style="10" customWidth="1"/>
    <col min="11" max="11" width="18.88671875" style="10" customWidth="1"/>
    <col min="12" max="12" width="18.44140625" style="10" bestFit="1" customWidth="1"/>
    <col min="13" max="13" width="21" style="10" customWidth="1"/>
    <col min="14" max="14" width="12.33203125" style="10" customWidth="1"/>
    <col min="15" max="15" width="19.6640625" style="10" bestFit="1" customWidth="1"/>
    <col min="16" max="16" width="24.6640625" style="39" bestFit="1" customWidth="1"/>
    <col min="17" max="17" width="18.88671875" style="40" bestFit="1" customWidth="1"/>
    <col min="18" max="18" width="11" style="39" bestFit="1" customWidth="1"/>
    <col min="19" max="19" width="21.5546875" style="10" bestFit="1" customWidth="1"/>
    <col min="20" max="20" width="17.109375" style="10" bestFit="1" customWidth="1"/>
    <col min="21" max="21" width="16.6640625" style="10" customWidth="1"/>
    <col min="22" max="22" width="16.88671875" style="10" customWidth="1"/>
    <col min="23" max="23" width="18.33203125" style="53" customWidth="1"/>
    <col min="24" max="24" width="14" style="10" bestFit="1" customWidth="1"/>
    <col min="25" max="25" width="13.6640625" style="10" bestFit="1" customWidth="1"/>
    <col min="26" max="26" width="21.44140625" style="10" customWidth="1"/>
    <col min="27" max="27" width="17.109375" style="10" bestFit="1" customWidth="1"/>
    <col min="28" max="28" width="26" style="39" bestFit="1" customWidth="1"/>
    <col min="29" max="29" width="26" style="49" customWidth="1"/>
    <col min="30" max="30" width="24.5546875" style="39" bestFit="1" customWidth="1"/>
    <col min="31" max="31" width="21.109375" style="40" bestFit="1" customWidth="1"/>
    <col min="32" max="32" width="13.109375" style="10" bestFit="1" customWidth="1"/>
    <col min="33" max="33" width="13.33203125" style="10" bestFit="1" customWidth="1"/>
    <col min="34" max="34" width="14.44140625" style="10" bestFit="1" customWidth="1"/>
    <col min="35" max="36" width="14.109375" style="10" bestFit="1" customWidth="1"/>
    <col min="37" max="37" width="23.109375" style="53" customWidth="1"/>
    <col min="38" max="38" width="14.5546875" style="10" bestFit="1" customWidth="1"/>
    <col min="39" max="39" width="14.109375" style="10" bestFit="1" customWidth="1"/>
    <col min="40" max="40" width="15.44140625" style="10" customWidth="1"/>
    <col min="41" max="41" width="17.5546875" style="10" bestFit="1" customWidth="1"/>
    <col min="42" max="42" width="26" style="10" bestFit="1" customWidth="1"/>
    <col min="43" max="43" width="15.88671875" style="10" bestFit="1" customWidth="1"/>
    <col min="44" max="44" width="15.44140625" style="10" bestFit="1" customWidth="1"/>
    <col min="45" max="45" width="20" style="10" customWidth="1"/>
    <col min="46" max="46" width="18.88671875" style="10" bestFit="1" customWidth="1"/>
    <col min="47" max="47" width="25.109375" style="10" customWidth="1"/>
    <col min="48" max="48" width="15.88671875" style="10" bestFit="1" customWidth="1"/>
    <col min="49" max="49" width="15.44140625" style="10" bestFit="1" customWidth="1"/>
    <col min="50" max="50" width="18" style="10" customWidth="1"/>
    <col min="51" max="51" width="20.44140625" style="10" bestFit="1" customWidth="1"/>
    <col min="52" max="52" width="24.5546875" style="10" customWidth="1"/>
    <col min="53" max="53" width="15.88671875" style="10" bestFit="1" customWidth="1"/>
    <col min="54" max="54" width="15.44140625" style="10" bestFit="1" customWidth="1"/>
    <col min="55" max="55" width="17.33203125" style="10" customWidth="1"/>
    <col min="56" max="56" width="20.44140625" style="10" bestFit="1" customWidth="1"/>
    <col min="57" max="57" width="24.5546875" style="10" customWidth="1"/>
    <col min="58" max="16384" width="11.44140625" style="10"/>
  </cols>
  <sheetData>
    <row r="1" spans="1:57" ht="59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1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7" t="s">
        <v>28</v>
      </c>
      <c r="AD1" s="4" t="s">
        <v>29</v>
      </c>
      <c r="AE1" s="5" t="s">
        <v>30</v>
      </c>
      <c r="AF1" s="4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</row>
    <row r="2" spans="1:57" ht="59.25" customHeight="1" x14ac:dyDescent="0.45">
      <c r="A2" s="11" t="s">
        <v>57</v>
      </c>
      <c r="B2" s="12">
        <v>1</v>
      </c>
      <c r="C2" s="12" t="s">
        <v>58</v>
      </c>
      <c r="D2" s="12" t="s">
        <v>59</v>
      </c>
      <c r="E2" s="12" t="s">
        <v>60</v>
      </c>
      <c r="F2" s="12" t="s">
        <v>61</v>
      </c>
      <c r="G2" s="12" t="s">
        <v>62</v>
      </c>
      <c r="H2" s="12" t="s">
        <v>63</v>
      </c>
      <c r="I2" s="12" t="s">
        <v>64</v>
      </c>
      <c r="J2" s="12" t="s">
        <v>65</v>
      </c>
      <c r="K2" s="12" t="s">
        <v>66</v>
      </c>
      <c r="L2" s="12" t="s">
        <v>67</v>
      </c>
      <c r="M2" s="12" t="s">
        <v>68</v>
      </c>
      <c r="N2" s="12" t="s">
        <v>69</v>
      </c>
      <c r="O2" s="12" t="s">
        <v>70</v>
      </c>
      <c r="P2" s="13">
        <v>44764</v>
      </c>
      <c r="Q2" s="14">
        <f t="shared" ref="Q2:Q18" ca="1" si="0">DATEDIF(P2,TODAY(),"m")</f>
        <v>40</v>
      </c>
      <c r="R2" s="13" t="s">
        <v>71</v>
      </c>
      <c r="S2" s="15">
        <v>45721</v>
      </c>
      <c r="T2" s="12">
        <v>20210001595</v>
      </c>
      <c r="U2" s="12" t="s">
        <v>72</v>
      </c>
      <c r="V2" s="12" t="s">
        <v>73</v>
      </c>
      <c r="W2" s="52">
        <v>7977061</v>
      </c>
      <c r="X2" s="16" t="s">
        <v>74</v>
      </c>
      <c r="Y2" s="16" t="s">
        <v>75</v>
      </c>
      <c r="Z2" s="16" t="s">
        <v>76</v>
      </c>
      <c r="AA2" s="16">
        <v>20210001752</v>
      </c>
      <c r="AB2" s="17">
        <v>44774</v>
      </c>
      <c r="AC2" s="50">
        <v>8131588</v>
      </c>
      <c r="AD2" s="17">
        <v>45139</v>
      </c>
      <c r="AE2" s="18">
        <f ca="1">DATEDIF(AB2,TODAY(),"m")</f>
        <v>40</v>
      </c>
      <c r="AF2" s="17" t="s">
        <v>71</v>
      </c>
      <c r="AG2" s="19" t="s">
        <v>77</v>
      </c>
      <c r="AH2" s="19">
        <v>1</v>
      </c>
      <c r="AI2" s="20" t="s">
        <v>78</v>
      </c>
      <c r="AJ2" s="20">
        <v>1</v>
      </c>
      <c r="AK2" s="55">
        <f t="shared" ref="AK2:AK18" si="1">AC2+W2</f>
        <v>16108649</v>
      </c>
      <c r="AL2" s="21" t="s">
        <v>79</v>
      </c>
      <c r="AM2" s="22" t="s">
        <v>80</v>
      </c>
      <c r="AN2" s="23">
        <v>45070</v>
      </c>
      <c r="AO2" s="21" t="s">
        <v>81</v>
      </c>
      <c r="AP2" s="21" t="s">
        <v>82</v>
      </c>
      <c r="AQ2" s="21" t="s">
        <v>83</v>
      </c>
      <c r="AR2" s="21" t="s">
        <v>84</v>
      </c>
      <c r="AS2" s="23">
        <v>45107</v>
      </c>
      <c r="AT2" s="21" t="s">
        <v>85</v>
      </c>
      <c r="AU2" s="21" t="s">
        <v>86</v>
      </c>
      <c r="AV2" s="21" t="s">
        <v>79</v>
      </c>
      <c r="AW2" s="21" t="s">
        <v>80</v>
      </c>
      <c r="AX2" s="21" t="s">
        <v>87</v>
      </c>
      <c r="AY2" s="21" t="s">
        <v>81</v>
      </c>
      <c r="AZ2" s="24" t="s">
        <v>88</v>
      </c>
      <c r="BA2" s="8" t="s">
        <v>89</v>
      </c>
      <c r="BB2" s="8"/>
      <c r="BC2" s="8"/>
      <c r="BD2" s="8"/>
      <c r="BE2" s="8"/>
    </row>
    <row r="3" spans="1:57" ht="59.25" customHeight="1" x14ac:dyDescent="0.45">
      <c r="A3" s="11" t="s">
        <v>90</v>
      </c>
      <c r="B3" s="12">
        <v>2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  <c r="J3" s="12" t="s">
        <v>91</v>
      </c>
      <c r="K3" s="12" t="s">
        <v>66</v>
      </c>
      <c r="L3" s="12" t="s">
        <v>92</v>
      </c>
      <c r="M3" s="12" t="s">
        <v>93</v>
      </c>
      <c r="N3" s="12" t="s">
        <v>94</v>
      </c>
      <c r="O3" s="12" t="s">
        <v>70</v>
      </c>
      <c r="P3" s="13">
        <v>44764</v>
      </c>
      <c r="Q3" s="14">
        <f t="shared" ca="1" si="0"/>
        <v>40</v>
      </c>
      <c r="R3" s="13" t="s">
        <v>71</v>
      </c>
      <c r="S3" s="15">
        <v>45721</v>
      </c>
      <c r="T3" s="12">
        <v>20210001594</v>
      </c>
      <c r="U3" s="12" t="s">
        <v>72</v>
      </c>
      <c r="V3" s="12" t="s">
        <v>73</v>
      </c>
      <c r="W3" s="52">
        <v>7977061</v>
      </c>
      <c r="X3" s="16" t="s">
        <v>74</v>
      </c>
      <c r="Y3" s="16" t="s">
        <v>75</v>
      </c>
      <c r="Z3" s="16" t="s">
        <v>95</v>
      </c>
      <c r="AA3" s="16">
        <v>20210001758</v>
      </c>
      <c r="AB3" s="17">
        <v>44774</v>
      </c>
      <c r="AC3" s="50">
        <v>8131588</v>
      </c>
      <c r="AD3" s="17">
        <v>45139</v>
      </c>
      <c r="AE3" s="18">
        <f t="shared" ref="AE3:AE18" ca="1" si="2">DATEDIF(AB3,TODAY(),"m")</f>
        <v>40</v>
      </c>
      <c r="AF3" s="17" t="s">
        <v>71</v>
      </c>
      <c r="AG3" s="19" t="s">
        <v>77</v>
      </c>
      <c r="AH3" s="19">
        <v>2</v>
      </c>
      <c r="AI3" s="20" t="s">
        <v>78</v>
      </c>
      <c r="AJ3" s="20">
        <v>2</v>
      </c>
      <c r="AK3" s="55">
        <f t="shared" si="1"/>
        <v>16108649</v>
      </c>
      <c r="AL3" s="21" t="s">
        <v>79</v>
      </c>
      <c r="AM3" s="22" t="s">
        <v>80</v>
      </c>
      <c r="AN3" s="23">
        <v>45070</v>
      </c>
      <c r="AO3" s="21" t="s">
        <v>81</v>
      </c>
      <c r="AP3" s="21" t="s">
        <v>82</v>
      </c>
      <c r="AQ3" s="21" t="s">
        <v>83</v>
      </c>
      <c r="AR3" s="21" t="s">
        <v>84</v>
      </c>
      <c r="AS3" s="23">
        <v>45107</v>
      </c>
      <c r="AT3" s="21" t="s">
        <v>85</v>
      </c>
      <c r="AU3" s="21" t="s">
        <v>86</v>
      </c>
      <c r="AV3" s="21" t="s">
        <v>79</v>
      </c>
      <c r="AW3" s="21" t="s">
        <v>80</v>
      </c>
      <c r="AX3" s="21" t="s">
        <v>87</v>
      </c>
      <c r="AY3" s="21" t="s">
        <v>81</v>
      </c>
      <c r="AZ3" s="24" t="s">
        <v>88</v>
      </c>
      <c r="BA3" s="21"/>
      <c r="BB3" s="21"/>
      <c r="BC3" s="21"/>
      <c r="BD3" s="21"/>
      <c r="BE3" s="21"/>
    </row>
    <row r="4" spans="1:57" ht="59.25" customHeight="1" x14ac:dyDescent="0.45">
      <c r="A4" s="11" t="s">
        <v>96</v>
      </c>
      <c r="B4" s="12">
        <v>3</v>
      </c>
      <c r="C4" s="12" t="s">
        <v>58</v>
      </c>
      <c r="D4" s="12" t="s">
        <v>59</v>
      </c>
      <c r="E4" s="12" t="s">
        <v>60</v>
      </c>
      <c r="F4" s="12" t="s">
        <v>61</v>
      </c>
      <c r="G4" s="12" t="s">
        <v>62</v>
      </c>
      <c r="H4" s="12" t="s">
        <v>63</v>
      </c>
      <c r="I4" s="12" t="s">
        <v>64</v>
      </c>
      <c r="J4" s="12" t="s">
        <v>97</v>
      </c>
      <c r="K4" s="12" t="s">
        <v>66</v>
      </c>
      <c r="L4" s="12" t="s">
        <v>98</v>
      </c>
      <c r="M4" s="12" t="s">
        <v>99</v>
      </c>
      <c r="N4" s="12" t="s">
        <v>100</v>
      </c>
      <c r="O4" s="12" t="s">
        <v>70</v>
      </c>
      <c r="P4" s="13">
        <v>44764</v>
      </c>
      <c r="Q4" s="14">
        <f t="shared" ca="1" si="0"/>
        <v>40</v>
      </c>
      <c r="R4" s="13" t="s">
        <v>71</v>
      </c>
      <c r="S4" s="15">
        <v>45721</v>
      </c>
      <c r="T4" s="12">
        <v>20210001589</v>
      </c>
      <c r="U4" s="12" t="s">
        <v>72</v>
      </c>
      <c r="V4" s="12" t="s">
        <v>73</v>
      </c>
      <c r="W4" s="52">
        <v>7977061</v>
      </c>
      <c r="X4" s="16" t="s">
        <v>74</v>
      </c>
      <c r="Y4" s="16" t="s">
        <v>75</v>
      </c>
      <c r="Z4" s="16" t="s">
        <v>101</v>
      </c>
      <c r="AA4" s="16">
        <v>20210001756</v>
      </c>
      <c r="AB4" s="17">
        <v>44774</v>
      </c>
      <c r="AC4" s="50">
        <v>8131588</v>
      </c>
      <c r="AD4" s="17">
        <v>45139</v>
      </c>
      <c r="AE4" s="18">
        <f t="shared" ca="1" si="2"/>
        <v>40</v>
      </c>
      <c r="AF4" s="17" t="s">
        <v>71</v>
      </c>
      <c r="AG4" s="19" t="s">
        <v>77</v>
      </c>
      <c r="AH4" s="19">
        <v>3</v>
      </c>
      <c r="AI4" s="20" t="s">
        <v>78</v>
      </c>
      <c r="AJ4" s="20">
        <v>3</v>
      </c>
      <c r="AK4" s="55">
        <f t="shared" si="1"/>
        <v>16108649</v>
      </c>
      <c r="AL4" s="21" t="s">
        <v>79</v>
      </c>
      <c r="AM4" s="22" t="s">
        <v>80</v>
      </c>
      <c r="AN4" s="23">
        <v>45070</v>
      </c>
      <c r="AO4" s="21" t="s">
        <v>81</v>
      </c>
      <c r="AP4" s="21" t="s">
        <v>82</v>
      </c>
      <c r="AQ4" s="21" t="s">
        <v>83</v>
      </c>
      <c r="AR4" s="21" t="s">
        <v>84</v>
      </c>
      <c r="AS4" s="23">
        <v>45107</v>
      </c>
      <c r="AT4" s="21" t="s">
        <v>85</v>
      </c>
      <c r="AU4" s="21" t="s">
        <v>86</v>
      </c>
      <c r="AV4" s="21" t="s">
        <v>79</v>
      </c>
      <c r="AW4" s="21" t="s">
        <v>80</v>
      </c>
      <c r="AX4" s="21" t="s">
        <v>87</v>
      </c>
      <c r="AY4" s="21" t="s">
        <v>81</v>
      </c>
      <c r="AZ4" s="24" t="s">
        <v>88</v>
      </c>
      <c r="BA4" s="21"/>
      <c r="BB4" s="21"/>
      <c r="BC4" s="21"/>
      <c r="BD4" s="21"/>
      <c r="BE4" s="21"/>
    </row>
    <row r="5" spans="1:57" ht="59.25" customHeight="1" x14ac:dyDescent="0.45">
      <c r="A5" s="11" t="s">
        <v>102</v>
      </c>
      <c r="B5" s="12">
        <v>4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  <c r="J5" s="12" t="s">
        <v>103</v>
      </c>
      <c r="K5" s="12" t="s">
        <v>66</v>
      </c>
      <c r="L5" s="12" t="s">
        <v>104</v>
      </c>
      <c r="M5" s="12" t="s">
        <v>105</v>
      </c>
      <c r="N5" s="12" t="s">
        <v>106</v>
      </c>
      <c r="O5" s="12" t="s">
        <v>70</v>
      </c>
      <c r="P5" s="13">
        <v>44764</v>
      </c>
      <c r="Q5" s="14">
        <f t="shared" ca="1" si="0"/>
        <v>40</v>
      </c>
      <c r="R5" s="13" t="s">
        <v>71</v>
      </c>
      <c r="S5" s="15">
        <v>45721</v>
      </c>
      <c r="T5" s="12">
        <v>20210001601</v>
      </c>
      <c r="U5" s="12" t="s">
        <v>72</v>
      </c>
      <c r="V5" s="12" t="s">
        <v>73</v>
      </c>
      <c r="W5" s="52">
        <v>7977061</v>
      </c>
      <c r="X5" s="16" t="s">
        <v>74</v>
      </c>
      <c r="Y5" s="16" t="s">
        <v>75</v>
      </c>
      <c r="Z5" s="16" t="s">
        <v>107</v>
      </c>
      <c r="AA5" s="16">
        <v>20210001761</v>
      </c>
      <c r="AB5" s="17">
        <v>44774</v>
      </c>
      <c r="AC5" s="50">
        <v>8131588</v>
      </c>
      <c r="AD5" s="17">
        <v>45139</v>
      </c>
      <c r="AE5" s="18">
        <f t="shared" ca="1" si="2"/>
        <v>40</v>
      </c>
      <c r="AF5" s="17" t="s">
        <v>71</v>
      </c>
      <c r="AG5" s="19" t="s">
        <v>77</v>
      </c>
      <c r="AH5" s="19">
        <v>4</v>
      </c>
      <c r="AI5" s="20" t="s">
        <v>78</v>
      </c>
      <c r="AJ5" s="20">
        <v>4</v>
      </c>
      <c r="AK5" s="55">
        <f t="shared" si="1"/>
        <v>16108649</v>
      </c>
      <c r="AL5" s="21" t="s">
        <v>79</v>
      </c>
      <c r="AM5" s="22" t="s">
        <v>80</v>
      </c>
      <c r="AN5" s="23">
        <v>45070</v>
      </c>
      <c r="AO5" s="21" t="s">
        <v>81</v>
      </c>
      <c r="AP5" s="21" t="s">
        <v>82</v>
      </c>
      <c r="AQ5" s="21" t="s">
        <v>83</v>
      </c>
      <c r="AR5" s="21" t="s">
        <v>84</v>
      </c>
      <c r="AS5" s="23">
        <v>45107</v>
      </c>
      <c r="AT5" s="21" t="s">
        <v>85</v>
      </c>
      <c r="AU5" s="21" t="s">
        <v>86</v>
      </c>
      <c r="AV5" s="21" t="s">
        <v>79</v>
      </c>
      <c r="AW5" s="21" t="s">
        <v>80</v>
      </c>
      <c r="AX5" s="21" t="s">
        <v>87</v>
      </c>
      <c r="AY5" s="21" t="s">
        <v>81</v>
      </c>
      <c r="AZ5" s="24" t="s">
        <v>88</v>
      </c>
      <c r="BA5" s="21" t="s">
        <v>108</v>
      </c>
      <c r="BB5" s="21"/>
      <c r="BC5" s="21"/>
      <c r="BD5" s="21"/>
      <c r="BE5" s="21"/>
    </row>
    <row r="6" spans="1:57" ht="59.25" customHeight="1" x14ac:dyDescent="0.45">
      <c r="A6" s="11" t="s">
        <v>109</v>
      </c>
      <c r="B6" s="12">
        <v>5</v>
      </c>
      <c r="C6" s="12" t="s">
        <v>58</v>
      </c>
      <c r="D6" s="25" t="s">
        <v>59</v>
      </c>
      <c r="E6" s="12" t="s">
        <v>60</v>
      </c>
      <c r="F6" s="12" t="s">
        <v>61</v>
      </c>
      <c r="G6" s="12" t="s">
        <v>62</v>
      </c>
      <c r="H6" s="12" t="s">
        <v>63</v>
      </c>
      <c r="I6" s="12" t="s">
        <v>64</v>
      </c>
      <c r="J6" s="12" t="s">
        <v>110</v>
      </c>
      <c r="K6" s="12" t="s">
        <v>66</v>
      </c>
      <c r="L6" s="12" t="s">
        <v>111</v>
      </c>
      <c r="M6" s="12" t="s">
        <v>112</v>
      </c>
      <c r="N6" s="12" t="s">
        <v>113</v>
      </c>
      <c r="O6" s="12" t="s">
        <v>70</v>
      </c>
      <c r="P6" s="13">
        <v>44764</v>
      </c>
      <c r="Q6" s="14">
        <f t="shared" ca="1" si="0"/>
        <v>40</v>
      </c>
      <c r="R6" s="13" t="s">
        <v>71</v>
      </c>
      <c r="S6" s="15">
        <v>45721</v>
      </c>
      <c r="T6" s="12">
        <v>20210001599</v>
      </c>
      <c r="U6" s="12" t="s">
        <v>72</v>
      </c>
      <c r="V6" s="12" t="s">
        <v>73</v>
      </c>
      <c r="W6" s="52">
        <v>7977061</v>
      </c>
      <c r="X6" s="16" t="s">
        <v>74</v>
      </c>
      <c r="Y6" s="16" t="s">
        <v>75</v>
      </c>
      <c r="Z6" s="16" t="s">
        <v>114</v>
      </c>
      <c r="AA6" s="16">
        <v>20210001767</v>
      </c>
      <c r="AB6" s="17">
        <v>44774</v>
      </c>
      <c r="AC6" s="50">
        <v>8131588</v>
      </c>
      <c r="AD6" s="17">
        <v>45139</v>
      </c>
      <c r="AE6" s="18">
        <f t="shared" ca="1" si="2"/>
        <v>40</v>
      </c>
      <c r="AF6" s="17" t="s">
        <v>71</v>
      </c>
      <c r="AG6" s="19" t="s">
        <v>77</v>
      </c>
      <c r="AH6" s="19">
        <v>5</v>
      </c>
      <c r="AI6" s="20" t="s">
        <v>78</v>
      </c>
      <c r="AJ6" s="20">
        <v>5</v>
      </c>
      <c r="AK6" s="55">
        <f t="shared" si="1"/>
        <v>16108649</v>
      </c>
      <c r="AL6" s="21" t="s">
        <v>79</v>
      </c>
      <c r="AM6" s="22" t="s">
        <v>80</v>
      </c>
      <c r="AN6" s="23">
        <v>45070</v>
      </c>
      <c r="AO6" s="21" t="s">
        <v>81</v>
      </c>
      <c r="AP6" s="21" t="s">
        <v>82</v>
      </c>
      <c r="AQ6" s="21" t="s">
        <v>83</v>
      </c>
      <c r="AR6" s="21" t="s">
        <v>84</v>
      </c>
      <c r="AS6" s="23">
        <v>45107</v>
      </c>
      <c r="AT6" s="21" t="s">
        <v>85</v>
      </c>
      <c r="AU6" s="21" t="s">
        <v>86</v>
      </c>
      <c r="AV6" s="21" t="s">
        <v>79</v>
      </c>
      <c r="AW6" s="21" t="s">
        <v>80</v>
      </c>
      <c r="AX6" s="21" t="s">
        <v>87</v>
      </c>
      <c r="AY6" s="21" t="s">
        <v>81</v>
      </c>
      <c r="AZ6" s="24" t="s">
        <v>88</v>
      </c>
      <c r="BA6" s="21"/>
      <c r="BB6" s="21"/>
      <c r="BC6" s="21"/>
      <c r="BD6" s="21"/>
      <c r="BE6" s="21"/>
    </row>
    <row r="7" spans="1:57" ht="59.25" customHeight="1" x14ac:dyDescent="0.45">
      <c r="A7" s="11" t="s">
        <v>115</v>
      </c>
      <c r="B7" s="12">
        <v>6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116</v>
      </c>
      <c r="K7" s="12" t="s">
        <v>66</v>
      </c>
      <c r="L7" s="12" t="s">
        <v>117</v>
      </c>
      <c r="M7" s="12" t="s">
        <v>118</v>
      </c>
      <c r="N7" s="12" t="s">
        <v>119</v>
      </c>
      <c r="O7" s="12" t="s">
        <v>70</v>
      </c>
      <c r="P7" s="13">
        <v>44764</v>
      </c>
      <c r="Q7" s="14">
        <f t="shared" ca="1" si="0"/>
        <v>40</v>
      </c>
      <c r="R7" s="13" t="s">
        <v>71</v>
      </c>
      <c r="S7" s="15">
        <v>45721</v>
      </c>
      <c r="T7" s="12">
        <v>20210001602</v>
      </c>
      <c r="U7" s="12" t="s">
        <v>72</v>
      </c>
      <c r="V7" s="12" t="s">
        <v>73</v>
      </c>
      <c r="W7" s="52">
        <v>7977061</v>
      </c>
      <c r="X7" s="16" t="s">
        <v>74</v>
      </c>
      <c r="Y7" s="16" t="s">
        <v>75</v>
      </c>
      <c r="Z7" s="16" t="s">
        <v>120</v>
      </c>
      <c r="AA7" s="16">
        <v>20210001766</v>
      </c>
      <c r="AB7" s="17">
        <v>44774</v>
      </c>
      <c r="AC7" s="50">
        <v>8131588</v>
      </c>
      <c r="AD7" s="17">
        <v>45139</v>
      </c>
      <c r="AE7" s="18">
        <f t="shared" ca="1" si="2"/>
        <v>40</v>
      </c>
      <c r="AF7" s="17" t="s">
        <v>71</v>
      </c>
      <c r="AG7" s="19" t="s">
        <v>77</v>
      </c>
      <c r="AH7" s="19">
        <v>6</v>
      </c>
      <c r="AI7" s="20" t="s">
        <v>78</v>
      </c>
      <c r="AJ7" s="20">
        <v>6</v>
      </c>
      <c r="AK7" s="55">
        <f t="shared" si="1"/>
        <v>16108649</v>
      </c>
      <c r="AL7" s="21" t="s">
        <v>79</v>
      </c>
      <c r="AM7" s="22" t="s">
        <v>80</v>
      </c>
      <c r="AN7" s="23">
        <v>45070</v>
      </c>
      <c r="AO7" s="21" t="s">
        <v>81</v>
      </c>
      <c r="AP7" s="21" t="s">
        <v>82</v>
      </c>
      <c r="AQ7" s="21" t="s">
        <v>83</v>
      </c>
      <c r="AR7" s="21" t="s">
        <v>84</v>
      </c>
      <c r="AS7" s="23">
        <v>45107</v>
      </c>
      <c r="AT7" s="21" t="s">
        <v>85</v>
      </c>
      <c r="AU7" s="21" t="s">
        <v>86</v>
      </c>
      <c r="AV7" s="21" t="s">
        <v>79</v>
      </c>
      <c r="AW7" s="21" t="s">
        <v>80</v>
      </c>
      <c r="AX7" s="21" t="s">
        <v>87</v>
      </c>
      <c r="AY7" s="21" t="s">
        <v>81</v>
      </c>
      <c r="AZ7" s="24" t="s">
        <v>88</v>
      </c>
      <c r="BA7" s="21"/>
      <c r="BB7" s="21"/>
      <c r="BC7" s="21"/>
      <c r="BD7" s="21"/>
      <c r="BE7" s="21"/>
    </row>
    <row r="8" spans="1:57" ht="59.25" customHeight="1" x14ac:dyDescent="0.45">
      <c r="A8" s="11" t="s">
        <v>121</v>
      </c>
      <c r="B8" s="12">
        <v>7</v>
      </c>
      <c r="C8" s="12" t="s">
        <v>58</v>
      </c>
      <c r="D8" s="12" t="s">
        <v>59</v>
      </c>
      <c r="E8" s="12" t="s">
        <v>60</v>
      </c>
      <c r="F8" s="12" t="s">
        <v>61</v>
      </c>
      <c r="G8" s="12" t="s">
        <v>62</v>
      </c>
      <c r="H8" s="12" t="s">
        <v>63</v>
      </c>
      <c r="I8" s="12" t="s">
        <v>64</v>
      </c>
      <c r="J8" s="12" t="s">
        <v>122</v>
      </c>
      <c r="K8" s="12" t="s">
        <v>66</v>
      </c>
      <c r="L8" s="12" t="s">
        <v>123</v>
      </c>
      <c r="M8" s="12" t="s">
        <v>124</v>
      </c>
      <c r="N8" s="12" t="s">
        <v>125</v>
      </c>
      <c r="O8" s="12" t="s">
        <v>70</v>
      </c>
      <c r="P8" s="13">
        <v>44764</v>
      </c>
      <c r="Q8" s="14">
        <f t="shared" ca="1" si="0"/>
        <v>40</v>
      </c>
      <c r="R8" s="13" t="s">
        <v>71</v>
      </c>
      <c r="S8" s="15">
        <v>45721</v>
      </c>
      <c r="T8" s="12">
        <v>20210001587</v>
      </c>
      <c r="U8" s="12" t="s">
        <v>72</v>
      </c>
      <c r="V8" s="12" t="s">
        <v>73</v>
      </c>
      <c r="W8" s="52">
        <v>7977061</v>
      </c>
      <c r="X8" s="16" t="s">
        <v>74</v>
      </c>
      <c r="Y8" s="16" t="s">
        <v>75</v>
      </c>
      <c r="Z8" s="16" t="s">
        <v>126</v>
      </c>
      <c r="AA8" s="16">
        <v>20210001764</v>
      </c>
      <c r="AB8" s="17">
        <v>44774</v>
      </c>
      <c r="AC8" s="50">
        <v>8131588</v>
      </c>
      <c r="AD8" s="17">
        <v>45139</v>
      </c>
      <c r="AE8" s="18">
        <f t="shared" ca="1" si="2"/>
        <v>40</v>
      </c>
      <c r="AF8" s="17" t="s">
        <v>71</v>
      </c>
      <c r="AG8" s="19" t="s">
        <v>77</v>
      </c>
      <c r="AH8" s="19">
        <v>7</v>
      </c>
      <c r="AI8" s="20" t="s">
        <v>78</v>
      </c>
      <c r="AJ8" s="20">
        <v>7</v>
      </c>
      <c r="AK8" s="55">
        <f t="shared" si="1"/>
        <v>16108649</v>
      </c>
      <c r="AL8" s="21" t="s">
        <v>79</v>
      </c>
      <c r="AM8" s="22" t="s">
        <v>80</v>
      </c>
      <c r="AN8" s="23">
        <v>45070</v>
      </c>
      <c r="AO8" s="21" t="s">
        <v>81</v>
      </c>
      <c r="AP8" s="21" t="s">
        <v>82</v>
      </c>
      <c r="AQ8" s="21" t="s">
        <v>83</v>
      </c>
      <c r="AR8" s="21" t="s">
        <v>84</v>
      </c>
      <c r="AS8" s="23">
        <v>45107</v>
      </c>
      <c r="AT8" s="21" t="s">
        <v>85</v>
      </c>
      <c r="AU8" s="21" t="s">
        <v>86</v>
      </c>
      <c r="AV8" s="21" t="s">
        <v>79</v>
      </c>
      <c r="AW8" s="21" t="s">
        <v>80</v>
      </c>
      <c r="AX8" s="21" t="s">
        <v>87</v>
      </c>
      <c r="AY8" s="21" t="s">
        <v>81</v>
      </c>
      <c r="AZ8" s="24" t="s">
        <v>88</v>
      </c>
      <c r="BA8" s="21"/>
      <c r="BB8" s="21"/>
      <c r="BC8" s="21"/>
      <c r="BD8" s="21"/>
      <c r="BE8" s="21"/>
    </row>
    <row r="9" spans="1:57" ht="59.25" customHeight="1" x14ac:dyDescent="0.45">
      <c r="A9" s="11" t="s">
        <v>127</v>
      </c>
      <c r="B9" s="12">
        <v>8</v>
      </c>
      <c r="C9" s="12" t="s">
        <v>58</v>
      </c>
      <c r="D9" s="12" t="s">
        <v>59</v>
      </c>
      <c r="E9" s="12" t="s">
        <v>60</v>
      </c>
      <c r="F9" s="12" t="s">
        <v>61</v>
      </c>
      <c r="G9" s="12" t="s">
        <v>62</v>
      </c>
      <c r="H9" s="12" t="s">
        <v>63</v>
      </c>
      <c r="I9" s="12" t="s">
        <v>64</v>
      </c>
      <c r="J9" s="12" t="s">
        <v>128</v>
      </c>
      <c r="K9" s="12" t="s">
        <v>66</v>
      </c>
      <c r="L9" s="12" t="s">
        <v>129</v>
      </c>
      <c r="M9" s="12" t="s">
        <v>130</v>
      </c>
      <c r="N9" s="12" t="s">
        <v>131</v>
      </c>
      <c r="O9" s="12" t="s">
        <v>70</v>
      </c>
      <c r="P9" s="13">
        <v>44764</v>
      </c>
      <c r="Q9" s="14">
        <f t="shared" ca="1" si="0"/>
        <v>40</v>
      </c>
      <c r="R9" s="13" t="s">
        <v>71</v>
      </c>
      <c r="S9" s="15">
        <v>45721</v>
      </c>
      <c r="T9" s="12">
        <v>20210001590</v>
      </c>
      <c r="U9" s="12" t="s">
        <v>72</v>
      </c>
      <c r="V9" s="12" t="s">
        <v>73</v>
      </c>
      <c r="W9" s="52">
        <v>7977061</v>
      </c>
      <c r="X9" s="16" t="s">
        <v>74</v>
      </c>
      <c r="Y9" s="16" t="s">
        <v>75</v>
      </c>
      <c r="Z9" s="16" t="s">
        <v>132</v>
      </c>
      <c r="AA9" s="16">
        <v>20210001754</v>
      </c>
      <c r="AB9" s="17">
        <v>44774</v>
      </c>
      <c r="AC9" s="50">
        <v>8131588</v>
      </c>
      <c r="AD9" s="17">
        <v>45139</v>
      </c>
      <c r="AE9" s="18">
        <f t="shared" ca="1" si="2"/>
        <v>40</v>
      </c>
      <c r="AF9" s="17" t="s">
        <v>71</v>
      </c>
      <c r="AG9" s="19" t="s">
        <v>77</v>
      </c>
      <c r="AH9" s="19">
        <v>8</v>
      </c>
      <c r="AI9" s="20" t="s">
        <v>78</v>
      </c>
      <c r="AJ9" s="20">
        <v>8</v>
      </c>
      <c r="AK9" s="55">
        <f t="shared" si="1"/>
        <v>16108649</v>
      </c>
      <c r="AL9" s="21" t="s">
        <v>79</v>
      </c>
      <c r="AM9" s="22" t="s">
        <v>80</v>
      </c>
      <c r="AN9" s="23">
        <v>45070</v>
      </c>
      <c r="AO9" s="21" t="s">
        <v>81</v>
      </c>
      <c r="AP9" s="21" t="s">
        <v>82</v>
      </c>
      <c r="AQ9" s="21" t="s">
        <v>83</v>
      </c>
      <c r="AR9" s="21" t="s">
        <v>84</v>
      </c>
      <c r="AS9" s="23">
        <v>45107</v>
      </c>
      <c r="AT9" s="21" t="s">
        <v>85</v>
      </c>
      <c r="AU9" s="21" t="s">
        <v>86</v>
      </c>
      <c r="AV9" s="21" t="s">
        <v>79</v>
      </c>
      <c r="AW9" s="21" t="s">
        <v>80</v>
      </c>
      <c r="AX9" s="21" t="s">
        <v>87</v>
      </c>
      <c r="AY9" s="21" t="s">
        <v>81</v>
      </c>
      <c r="AZ9" s="24" t="s">
        <v>88</v>
      </c>
      <c r="BA9" s="21"/>
      <c r="BB9" s="21"/>
      <c r="BC9" s="21"/>
      <c r="BD9" s="21"/>
      <c r="BE9" s="21"/>
    </row>
    <row r="10" spans="1:57" ht="59.25" customHeight="1" x14ac:dyDescent="0.45">
      <c r="A10" s="11" t="s">
        <v>133</v>
      </c>
      <c r="B10" s="12">
        <v>9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62</v>
      </c>
      <c r="H10" s="12" t="s">
        <v>63</v>
      </c>
      <c r="I10" s="12" t="s">
        <v>64</v>
      </c>
      <c r="J10" s="12" t="s">
        <v>134</v>
      </c>
      <c r="K10" s="12" t="s">
        <v>66</v>
      </c>
      <c r="L10" s="12" t="s">
        <v>135</v>
      </c>
      <c r="M10" s="12" t="s">
        <v>136</v>
      </c>
      <c r="N10" s="12" t="s">
        <v>137</v>
      </c>
      <c r="O10" s="12" t="s">
        <v>70</v>
      </c>
      <c r="P10" s="13">
        <v>44764</v>
      </c>
      <c r="Q10" s="14">
        <f t="shared" ca="1" si="0"/>
        <v>40</v>
      </c>
      <c r="R10" s="13" t="s">
        <v>71</v>
      </c>
      <c r="S10" s="15">
        <v>45721</v>
      </c>
      <c r="T10" s="12">
        <v>20210001598</v>
      </c>
      <c r="U10" s="12" t="s">
        <v>72</v>
      </c>
      <c r="V10" s="12" t="s">
        <v>73</v>
      </c>
      <c r="W10" s="52">
        <v>7977061</v>
      </c>
      <c r="X10" s="16" t="s">
        <v>74</v>
      </c>
      <c r="Y10" s="16" t="s">
        <v>75</v>
      </c>
      <c r="Z10" s="16" t="s">
        <v>138</v>
      </c>
      <c r="AA10" s="16">
        <v>20210001755</v>
      </c>
      <c r="AB10" s="17">
        <v>44774</v>
      </c>
      <c r="AC10" s="50">
        <v>8131588</v>
      </c>
      <c r="AD10" s="17">
        <v>45139</v>
      </c>
      <c r="AE10" s="18">
        <f t="shared" ca="1" si="2"/>
        <v>40</v>
      </c>
      <c r="AF10" s="17" t="s">
        <v>71</v>
      </c>
      <c r="AG10" s="19" t="s">
        <v>77</v>
      </c>
      <c r="AH10" s="19">
        <v>9</v>
      </c>
      <c r="AI10" s="20" t="s">
        <v>78</v>
      </c>
      <c r="AJ10" s="20">
        <v>9</v>
      </c>
      <c r="AK10" s="55">
        <f t="shared" si="1"/>
        <v>16108649</v>
      </c>
      <c r="AL10" s="21" t="s">
        <v>79</v>
      </c>
      <c r="AM10" s="22" t="s">
        <v>80</v>
      </c>
      <c r="AN10" s="23">
        <v>45070</v>
      </c>
      <c r="AO10" s="21" t="s">
        <v>81</v>
      </c>
      <c r="AP10" s="21" t="s">
        <v>82</v>
      </c>
      <c r="AQ10" s="21" t="s">
        <v>83</v>
      </c>
      <c r="AR10" s="21" t="s">
        <v>84</v>
      </c>
      <c r="AS10" s="23">
        <v>45107</v>
      </c>
      <c r="AT10" s="21" t="s">
        <v>85</v>
      </c>
      <c r="AU10" s="21" t="s">
        <v>86</v>
      </c>
      <c r="AV10" s="21" t="s">
        <v>79</v>
      </c>
      <c r="AW10" s="21" t="s">
        <v>80</v>
      </c>
      <c r="AX10" s="21" t="s">
        <v>87</v>
      </c>
      <c r="AY10" s="21" t="s">
        <v>81</v>
      </c>
      <c r="AZ10" s="24" t="s">
        <v>88</v>
      </c>
      <c r="BA10" s="21"/>
      <c r="BB10" s="21"/>
      <c r="BC10" s="21"/>
      <c r="BD10" s="21"/>
      <c r="BE10" s="21"/>
    </row>
    <row r="11" spans="1:57" ht="59.25" customHeight="1" x14ac:dyDescent="0.45">
      <c r="A11" s="11" t="s">
        <v>139</v>
      </c>
      <c r="B11" s="12">
        <v>10</v>
      </c>
      <c r="C11" s="12" t="s">
        <v>58</v>
      </c>
      <c r="D11" s="12" t="s">
        <v>59</v>
      </c>
      <c r="E11" s="12" t="s">
        <v>60</v>
      </c>
      <c r="F11" s="12" t="s">
        <v>61</v>
      </c>
      <c r="G11" s="12" t="s">
        <v>62</v>
      </c>
      <c r="H11" s="12" t="s">
        <v>63</v>
      </c>
      <c r="I11" s="12" t="s">
        <v>64</v>
      </c>
      <c r="J11" s="12" t="s">
        <v>140</v>
      </c>
      <c r="K11" s="12" t="s">
        <v>66</v>
      </c>
      <c r="L11" s="12" t="s">
        <v>141</v>
      </c>
      <c r="M11" s="12" t="s">
        <v>142</v>
      </c>
      <c r="N11" s="12" t="s">
        <v>143</v>
      </c>
      <c r="O11" s="12" t="s">
        <v>70</v>
      </c>
      <c r="P11" s="13">
        <v>44764</v>
      </c>
      <c r="Q11" s="14">
        <f t="shared" ca="1" si="0"/>
        <v>40</v>
      </c>
      <c r="R11" s="13" t="s">
        <v>71</v>
      </c>
      <c r="S11" s="15">
        <v>45721</v>
      </c>
      <c r="T11" s="12">
        <v>20210001600</v>
      </c>
      <c r="U11" s="12" t="s">
        <v>72</v>
      </c>
      <c r="V11" s="12" t="s">
        <v>73</v>
      </c>
      <c r="W11" s="52">
        <v>7977061</v>
      </c>
      <c r="X11" s="16" t="s">
        <v>74</v>
      </c>
      <c r="Y11" s="16" t="s">
        <v>75</v>
      </c>
      <c r="Z11" s="16" t="s">
        <v>144</v>
      </c>
      <c r="AA11" s="16">
        <v>20210001765</v>
      </c>
      <c r="AB11" s="17">
        <v>44774</v>
      </c>
      <c r="AC11" s="50">
        <v>8131588</v>
      </c>
      <c r="AD11" s="17">
        <v>45139</v>
      </c>
      <c r="AE11" s="18">
        <f t="shared" ca="1" si="2"/>
        <v>40</v>
      </c>
      <c r="AF11" s="17" t="s">
        <v>71</v>
      </c>
      <c r="AG11" s="19" t="s">
        <v>77</v>
      </c>
      <c r="AH11" s="19">
        <v>10</v>
      </c>
      <c r="AI11" s="20" t="s">
        <v>78</v>
      </c>
      <c r="AJ11" s="20">
        <v>10</v>
      </c>
      <c r="AK11" s="55">
        <f t="shared" si="1"/>
        <v>16108649</v>
      </c>
      <c r="AL11" s="21" t="s">
        <v>79</v>
      </c>
      <c r="AM11" s="22" t="s">
        <v>80</v>
      </c>
      <c r="AN11" s="23">
        <v>45070</v>
      </c>
      <c r="AO11" s="21" t="s">
        <v>81</v>
      </c>
      <c r="AP11" s="21" t="s">
        <v>82</v>
      </c>
      <c r="AQ11" s="21" t="s">
        <v>83</v>
      </c>
      <c r="AR11" s="21" t="s">
        <v>84</v>
      </c>
      <c r="AS11" s="23">
        <v>45107</v>
      </c>
      <c r="AT11" s="21" t="s">
        <v>85</v>
      </c>
      <c r="AU11" s="21" t="s">
        <v>86</v>
      </c>
      <c r="AV11" s="21" t="s">
        <v>79</v>
      </c>
      <c r="AW11" s="21" t="s">
        <v>80</v>
      </c>
      <c r="AX11" s="21" t="s">
        <v>87</v>
      </c>
      <c r="AY11" s="21" t="s">
        <v>81</v>
      </c>
      <c r="AZ11" s="24" t="s">
        <v>88</v>
      </c>
      <c r="BA11" s="21"/>
      <c r="BB11" s="21"/>
      <c r="BC11" s="21"/>
      <c r="BD11" s="21"/>
      <c r="BE11" s="21"/>
    </row>
    <row r="12" spans="1:57" ht="59.25" customHeight="1" x14ac:dyDescent="0.45">
      <c r="A12" s="11" t="s">
        <v>145</v>
      </c>
      <c r="B12" s="12">
        <v>11</v>
      </c>
      <c r="C12" s="12" t="s">
        <v>58</v>
      </c>
      <c r="D12" s="12" t="s">
        <v>59</v>
      </c>
      <c r="E12" s="12" t="s">
        <v>60</v>
      </c>
      <c r="F12" s="12" t="s">
        <v>61</v>
      </c>
      <c r="G12" s="12" t="s">
        <v>62</v>
      </c>
      <c r="H12" s="12" t="s">
        <v>63</v>
      </c>
      <c r="I12" s="12" t="s">
        <v>64</v>
      </c>
      <c r="J12" s="12" t="s">
        <v>146</v>
      </c>
      <c r="K12" s="12" t="s">
        <v>66</v>
      </c>
      <c r="L12" s="12" t="s">
        <v>147</v>
      </c>
      <c r="M12" s="12" t="s">
        <v>148</v>
      </c>
      <c r="N12" s="12" t="s">
        <v>149</v>
      </c>
      <c r="O12" s="12" t="s">
        <v>70</v>
      </c>
      <c r="P12" s="13">
        <v>44764</v>
      </c>
      <c r="Q12" s="14">
        <f t="shared" ca="1" si="0"/>
        <v>40</v>
      </c>
      <c r="R12" s="13" t="s">
        <v>71</v>
      </c>
      <c r="S12" s="15">
        <v>45721</v>
      </c>
      <c r="T12" s="12">
        <v>20210001593</v>
      </c>
      <c r="U12" s="12" t="s">
        <v>72</v>
      </c>
      <c r="V12" s="12" t="s">
        <v>73</v>
      </c>
      <c r="W12" s="52">
        <v>7977061</v>
      </c>
      <c r="X12" s="16" t="s">
        <v>74</v>
      </c>
      <c r="Y12" s="16" t="s">
        <v>75</v>
      </c>
      <c r="Z12" s="16" t="s">
        <v>150</v>
      </c>
      <c r="AA12" s="16">
        <v>20210001760</v>
      </c>
      <c r="AB12" s="17">
        <v>44774</v>
      </c>
      <c r="AC12" s="50">
        <v>8131588</v>
      </c>
      <c r="AD12" s="17">
        <v>45139</v>
      </c>
      <c r="AE12" s="18">
        <f t="shared" ca="1" si="2"/>
        <v>40</v>
      </c>
      <c r="AF12" s="17" t="s">
        <v>71</v>
      </c>
      <c r="AG12" s="19" t="s">
        <v>77</v>
      </c>
      <c r="AH12" s="19">
        <v>11</v>
      </c>
      <c r="AI12" s="20" t="s">
        <v>78</v>
      </c>
      <c r="AJ12" s="20">
        <v>11</v>
      </c>
      <c r="AK12" s="55">
        <f t="shared" si="1"/>
        <v>16108649</v>
      </c>
      <c r="AL12" s="21" t="s">
        <v>79</v>
      </c>
      <c r="AM12" s="22" t="s">
        <v>80</v>
      </c>
      <c r="AN12" s="23">
        <v>45070</v>
      </c>
      <c r="AO12" s="21" t="s">
        <v>81</v>
      </c>
      <c r="AP12" s="21" t="s">
        <v>82</v>
      </c>
      <c r="AQ12" s="21" t="s">
        <v>80</v>
      </c>
      <c r="AR12" s="21" t="s">
        <v>83</v>
      </c>
      <c r="AS12" s="23">
        <v>45076</v>
      </c>
      <c r="AT12" s="21" t="s">
        <v>151</v>
      </c>
      <c r="AU12" s="21" t="s">
        <v>152</v>
      </c>
      <c r="AV12" s="21" t="s">
        <v>79</v>
      </c>
      <c r="AW12" s="21" t="s">
        <v>80</v>
      </c>
      <c r="AX12" s="23">
        <v>45107</v>
      </c>
      <c r="AY12" s="21" t="s">
        <v>85</v>
      </c>
      <c r="AZ12" s="21" t="s">
        <v>86</v>
      </c>
      <c r="BA12" s="21" t="s">
        <v>79</v>
      </c>
      <c r="BB12" s="21" t="s">
        <v>80</v>
      </c>
      <c r="BC12" s="21" t="s">
        <v>87</v>
      </c>
      <c r="BD12" s="21" t="s">
        <v>81</v>
      </c>
      <c r="BE12" s="24" t="s">
        <v>88</v>
      </c>
    </row>
    <row r="13" spans="1:57" ht="59.25" customHeight="1" x14ac:dyDescent="0.45">
      <c r="A13" s="11" t="s">
        <v>153</v>
      </c>
      <c r="B13" s="12">
        <v>12</v>
      </c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  <c r="I13" s="12" t="s">
        <v>64</v>
      </c>
      <c r="J13" s="12" t="s">
        <v>154</v>
      </c>
      <c r="K13" s="12" t="s">
        <v>66</v>
      </c>
      <c r="L13" s="12" t="s">
        <v>155</v>
      </c>
      <c r="M13" s="12" t="s">
        <v>156</v>
      </c>
      <c r="N13" s="12" t="s">
        <v>157</v>
      </c>
      <c r="O13" s="12" t="s">
        <v>70</v>
      </c>
      <c r="P13" s="13">
        <v>44764</v>
      </c>
      <c r="Q13" s="14">
        <f t="shared" ca="1" si="0"/>
        <v>40</v>
      </c>
      <c r="R13" s="13" t="s">
        <v>71</v>
      </c>
      <c r="S13" s="15">
        <v>45721</v>
      </c>
      <c r="T13" s="12">
        <v>20210001591</v>
      </c>
      <c r="U13" s="12" t="s">
        <v>72</v>
      </c>
      <c r="V13" s="12" t="s">
        <v>73</v>
      </c>
      <c r="W13" s="52">
        <v>7977061</v>
      </c>
      <c r="X13" s="16" t="s">
        <v>74</v>
      </c>
      <c r="Y13" s="16" t="s">
        <v>75</v>
      </c>
      <c r="Z13" s="16" t="s">
        <v>158</v>
      </c>
      <c r="AA13" s="16">
        <v>20210001762</v>
      </c>
      <c r="AB13" s="17">
        <v>44774</v>
      </c>
      <c r="AC13" s="50">
        <v>8131588</v>
      </c>
      <c r="AD13" s="17">
        <v>45139</v>
      </c>
      <c r="AE13" s="18">
        <f t="shared" ca="1" si="2"/>
        <v>40</v>
      </c>
      <c r="AF13" s="17" t="s">
        <v>71</v>
      </c>
      <c r="AG13" s="19" t="s">
        <v>77</v>
      </c>
      <c r="AH13" s="19">
        <v>12</v>
      </c>
      <c r="AI13" s="20" t="s">
        <v>78</v>
      </c>
      <c r="AJ13" s="20">
        <v>12</v>
      </c>
      <c r="AK13" s="55">
        <f t="shared" si="1"/>
        <v>16108649</v>
      </c>
      <c r="AL13" s="21" t="s">
        <v>79</v>
      </c>
      <c r="AM13" s="22" t="s">
        <v>80</v>
      </c>
      <c r="AN13" s="23">
        <v>45070</v>
      </c>
      <c r="AO13" s="21" t="s">
        <v>81</v>
      </c>
      <c r="AP13" s="21" t="s">
        <v>82</v>
      </c>
      <c r="AQ13" s="21" t="s">
        <v>83</v>
      </c>
      <c r="AR13" s="21" t="s">
        <v>80</v>
      </c>
      <c r="AS13" s="23">
        <v>45107</v>
      </c>
      <c r="AT13" s="21" t="s">
        <v>85</v>
      </c>
      <c r="AU13" s="21" t="s">
        <v>86</v>
      </c>
      <c r="AV13" s="21" t="s">
        <v>79</v>
      </c>
      <c r="AW13" s="21" t="s">
        <v>80</v>
      </c>
      <c r="AX13" s="21" t="s">
        <v>87</v>
      </c>
      <c r="AY13" s="21" t="s">
        <v>81</v>
      </c>
      <c r="AZ13" s="24" t="s">
        <v>88</v>
      </c>
      <c r="BA13" s="21"/>
      <c r="BB13" s="21"/>
      <c r="BC13" s="21"/>
      <c r="BD13" s="21"/>
      <c r="BE13" s="21"/>
    </row>
    <row r="14" spans="1:57" ht="59.25" customHeight="1" x14ac:dyDescent="0.45">
      <c r="A14" s="11" t="s">
        <v>159</v>
      </c>
      <c r="B14" s="12">
        <v>13</v>
      </c>
      <c r="C14" s="12" t="s">
        <v>58</v>
      </c>
      <c r="D14" s="12" t="s">
        <v>59</v>
      </c>
      <c r="E14" s="12" t="s">
        <v>60</v>
      </c>
      <c r="F14" s="12" t="s">
        <v>61</v>
      </c>
      <c r="G14" s="12" t="s">
        <v>62</v>
      </c>
      <c r="H14" s="12" t="s">
        <v>63</v>
      </c>
      <c r="I14" s="12" t="s">
        <v>64</v>
      </c>
      <c r="J14" s="12" t="s">
        <v>160</v>
      </c>
      <c r="K14" s="12" t="s">
        <v>66</v>
      </c>
      <c r="L14" s="12" t="s">
        <v>161</v>
      </c>
      <c r="M14" s="12" t="s">
        <v>162</v>
      </c>
      <c r="N14" s="12" t="s">
        <v>163</v>
      </c>
      <c r="O14" s="12" t="s">
        <v>70</v>
      </c>
      <c r="P14" s="13">
        <v>44764</v>
      </c>
      <c r="Q14" s="14">
        <f t="shared" ca="1" si="0"/>
        <v>40</v>
      </c>
      <c r="R14" s="13" t="s">
        <v>71</v>
      </c>
      <c r="S14" s="15">
        <v>45721</v>
      </c>
      <c r="T14" s="12">
        <v>20210001592</v>
      </c>
      <c r="U14" s="12" t="s">
        <v>72</v>
      </c>
      <c r="V14" s="12" t="s">
        <v>73</v>
      </c>
      <c r="W14" s="52">
        <v>7977061</v>
      </c>
      <c r="X14" s="16" t="s">
        <v>74</v>
      </c>
      <c r="Y14" s="16" t="s">
        <v>75</v>
      </c>
      <c r="Z14" s="16" t="s">
        <v>164</v>
      </c>
      <c r="AA14" s="16">
        <v>20210001763</v>
      </c>
      <c r="AB14" s="17">
        <v>44774</v>
      </c>
      <c r="AC14" s="50">
        <v>8131588</v>
      </c>
      <c r="AD14" s="17">
        <v>45139</v>
      </c>
      <c r="AE14" s="18">
        <f t="shared" ca="1" si="2"/>
        <v>40</v>
      </c>
      <c r="AF14" s="17" t="s">
        <v>71</v>
      </c>
      <c r="AG14" s="19" t="s">
        <v>77</v>
      </c>
      <c r="AH14" s="19">
        <v>13</v>
      </c>
      <c r="AI14" s="20" t="s">
        <v>78</v>
      </c>
      <c r="AJ14" s="20">
        <v>13</v>
      </c>
      <c r="AK14" s="55">
        <f t="shared" si="1"/>
        <v>16108649</v>
      </c>
      <c r="AL14" s="21" t="s">
        <v>79</v>
      </c>
      <c r="AM14" s="22" t="s">
        <v>80</v>
      </c>
      <c r="AN14" s="23">
        <v>45070</v>
      </c>
      <c r="AO14" s="21" t="s">
        <v>81</v>
      </c>
      <c r="AP14" s="21" t="s">
        <v>82</v>
      </c>
      <c r="AQ14" s="21" t="s">
        <v>83</v>
      </c>
      <c r="AR14" s="21" t="s">
        <v>80</v>
      </c>
      <c r="AS14" s="23">
        <v>45076</v>
      </c>
      <c r="AT14" s="21" t="s">
        <v>165</v>
      </c>
      <c r="AU14" s="21" t="s">
        <v>166</v>
      </c>
      <c r="AV14" s="21" t="s">
        <v>79</v>
      </c>
      <c r="AW14" s="21" t="s">
        <v>80</v>
      </c>
      <c r="AX14" s="23">
        <v>45107</v>
      </c>
      <c r="AY14" s="21" t="s">
        <v>85</v>
      </c>
      <c r="AZ14" s="21" t="s">
        <v>86</v>
      </c>
      <c r="BA14" s="21" t="s">
        <v>79</v>
      </c>
      <c r="BB14" s="21" t="s">
        <v>80</v>
      </c>
      <c r="BC14" s="21" t="s">
        <v>87</v>
      </c>
      <c r="BD14" s="21" t="s">
        <v>81</v>
      </c>
      <c r="BE14" s="24" t="s">
        <v>88</v>
      </c>
    </row>
    <row r="15" spans="1:57" ht="59.25" customHeight="1" x14ac:dyDescent="0.45">
      <c r="A15" s="11" t="s">
        <v>167</v>
      </c>
      <c r="B15" s="12">
        <v>14</v>
      </c>
      <c r="C15" s="12" t="s">
        <v>58</v>
      </c>
      <c r="D15" s="12" t="s">
        <v>59</v>
      </c>
      <c r="E15" s="12" t="s">
        <v>60</v>
      </c>
      <c r="F15" s="12" t="s">
        <v>61</v>
      </c>
      <c r="G15" s="12" t="s">
        <v>62</v>
      </c>
      <c r="H15" s="12" t="s">
        <v>63</v>
      </c>
      <c r="I15" s="12" t="s">
        <v>64</v>
      </c>
      <c r="J15" s="12" t="s">
        <v>168</v>
      </c>
      <c r="K15" s="12" t="s">
        <v>66</v>
      </c>
      <c r="L15" s="12" t="s">
        <v>169</v>
      </c>
      <c r="M15" s="12" t="s">
        <v>170</v>
      </c>
      <c r="N15" s="12" t="s">
        <v>171</v>
      </c>
      <c r="O15" s="12" t="s">
        <v>70</v>
      </c>
      <c r="P15" s="13">
        <v>44764</v>
      </c>
      <c r="Q15" s="14">
        <f t="shared" ca="1" si="0"/>
        <v>40</v>
      </c>
      <c r="R15" s="13" t="s">
        <v>71</v>
      </c>
      <c r="S15" s="15">
        <v>45721</v>
      </c>
      <c r="T15" s="12">
        <v>20210001596</v>
      </c>
      <c r="U15" s="12" t="s">
        <v>72</v>
      </c>
      <c r="V15" s="12" t="s">
        <v>73</v>
      </c>
      <c r="W15" s="52">
        <v>7977061</v>
      </c>
      <c r="X15" s="16" t="s">
        <v>74</v>
      </c>
      <c r="Y15" s="16" t="s">
        <v>75</v>
      </c>
      <c r="Z15" s="16" t="s">
        <v>172</v>
      </c>
      <c r="AA15" s="16">
        <v>20210001759</v>
      </c>
      <c r="AB15" s="17">
        <v>44774</v>
      </c>
      <c r="AC15" s="50">
        <v>8131588</v>
      </c>
      <c r="AD15" s="17">
        <v>45139</v>
      </c>
      <c r="AE15" s="18">
        <f t="shared" ca="1" si="2"/>
        <v>40</v>
      </c>
      <c r="AF15" s="17" t="s">
        <v>71</v>
      </c>
      <c r="AG15" s="19" t="s">
        <v>77</v>
      </c>
      <c r="AH15" s="19">
        <v>14</v>
      </c>
      <c r="AI15" s="20" t="s">
        <v>78</v>
      </c>
      <c r="AJ15" s="20">
        <v>14</v>
      </c>
      <c r="AK15" s="55">
        <f t="shared" si="1"/>
        <v>16108649</v>
      </c>
      <c r="AL15" s="21" t="s">
        <v>79</v>
      </c>
      <c r="AM15" s="22" t="s">
        <v>80</v>
      </c>
      <c r="AN15" s="23">
        <v>45070</v>
      </c>
      <c r="AO15" s="21" t="s">
        <v>81</v>
      </c>
      <c r="AP15" s="21" t="s">
        <v>82</v>
      </c>
      <c r="AQ15" s="21" t="s">
        <v>83</v>
      </c>
      <c r="AR15" s="21" t="s">
        <v>80</v>
      </c>
      <c r="AS15" s="23">
        <v>45107</v>
      </c>
      <c r="AT15" s="21" t="s">
        <v>85</v>
      </c>
      <c r="AU15" s="21" t="s">
        <v>86</v>
      </c>
      <c r="AV15" s="21" t="s">
        <v>79</v>
      </c>
      <c r="AW15" s="21" t="s">
        <v>80</v>
      </c>
      <c r="AX15" s="21" t="s">
        <v>87</v>
      </c>
      <c r="AY15" s="21" t="s">
        <v>81</v>
      </c>
      <c r="AZ15" s="24" t="s">
        <v>88</v>
      </c>
      <c r="BA15" s="21"/>
      <c r="BB15" s="21"/>
      <c r="BC15" s="21"/>
      <c r="BD15" s="21"/>
      <c r="BE15" s="21"/>
    </row>
    <row r="16" spans="1:57" ht="59.25" customHeight="1" x14ac:dyDescent="0.45">
      <c r="A16" s="11" t="s">
        <v>173</v>
      </c>
      <c r="B16" s="12">
        <v>15</v>
      </c>
      <c r="C16" s="12" t="s">
        <v>58</v>
      </c>
      <c r="D16" s="12" t="s">
        <v>59</v>
      </c>
      <c r="E16" s="12" t="s">
        <v>60</v>
      </c>
      <c r="F16" s="12" t="s">
        <v>61</v>
      </c>
      <c r="G16" s="12" t="s">
        <v>62</v>
      </c>
      <c r="H16" s="12" t="s">
        <v>63</v>
      </c>
      <c r="I16" s="12" t="s">
        <v>64</v>
      </c>
      <c r="J16" s="12" t="s">
        <v>174</v>
      </c>
      <c r="K16" s="12" t="s">
        <v>66</v>
      </c>
      <c r="L16" s="12" t="s">
        <v>175</v>
      </c>
      <c r="M16" s="12" t="s">
        <v>176</v>
      </c>
      <c r="N16" s="12" t="s">
        <v>177</v>
      </c>
      <c r="O16" s="12" t="s">
        <v>70</v>
      </c>
      <c r="P16" s="13">
        <v>44764</v>
      </c>
      <c r="Q16" s="14">
        <f t="shared" ca="1" si="0"/>
        <v>40</v>
      </c>
      <c r="R16" s="13" t="s">
        <v>71</v>
      </c>
      <c r="S16" s="15">
        <v>45721</v>
      </c>
      <c r="T16" s="12">
        <v>20210001597</v>
      </c>
      <c r="U16" s="12" t="s">
        <v>72</v>
      </c>
      <c r="V16" s="12" t="s">
        <v>73</v>
      </c>
      <c r="W16" s="52">
        <v>7977061</v>
      </c>
      <c r="X16" s="16" t="s">
        <v>74</v>
      </c>
      <c r="Y16" s="16" t="s">
        <v>75</v>
      </c>
      <c r="Z16" s="16" t="s">
        <v>178</v>
      </c>
      <c r="AA16" s="16">
        <v>20210001757</v>
      </c>
      <c r="AB16" s="17">
        <v>44774</v>
      </c>
      <c r="AC16" s="50">
        <v>8131588</v>
      </c>
      <c r="AD16" s="17">
        <v>45139</v>
      </c>
      <c r="AE16" s="18">
        <f t="shared" ca="1" si="2"/>
        <v>40</v>
      </c>
      <c r="AF16" s="17" t="s">
        <v>71</v>
      </c>
      <c r="AG16" s="19" t="s">
        <v>77</v>
      </c>
      <c r="AH16" s="19">
        <v>15</v>
      </c>
      <c r="AI16" s="20" t="s">
        <v>78</v>
      </c>
      <c r="AJ16" s="20">
        <v>15</v>
      </c>
      <c r="AK16" s="55">
        <f t="shared" si="1"/>
        <v>16108649</v>
      </c>
      <c r="AL16" s="21" t="s">
        <v>79</v>
      </c>
      <c r="AM16" s="22" t="s">
        <v>80</v>
      </c>
      <c r="AN16" s="23">
        <v>45070</v>
      </c>
      <c r="AO16" s="21" t="s">
        <v>81</v>
      </c>
      <c r="AP16" s="21" t="s">
        <v>82</v>
      </c>
      <c r="AQ16" s="21" t="s">
        <v>83</v>
      </c>
      <c r="AR16" s="21" t="s">
        <v>80</v>
      </c>
      <c r="AS16" s="23">
        <v>45107</v>
      </c>
      <c r="AT16" s="21" t="s">
        <v>85</v>
      </c>
      <c r="AU16" s="21" t="s">
        <v>86</v>
      </c>
      <c r="AV16" s="21" t="s">
        <v>79</v>
      </c>
      <c r="AW16" s="21" t="s">
        <v>80</v>
      </c>
      <c r="AX16" s="21" t="s">
        <v>87</v>
      </c>
      <c r="AY16" s="21" t="s">
        <v>81</v>
      </c>
      <c r="AZ16" s="24" t="s">
        <v>88</v>
      </c>
      <c r="BA16" s="21"/>
      <c r="BB16" s="21"/>
      <c r="BC16" s="21"/>
      <c r="BD16" s="21"/>
      <c r="BE16" s="21"/>
    </row>
    <row r="17" spans="1:57" ht="59.25" customHeight="1" x14ac:dyDescent="0.45">
      <c r="A17" s="11" t="s">
        <v>179</v>
      </c>
      <c r="B17" s="12">
        <v>16</v>
      </c>
      <c r="C17" s="12" t="s">
        <v>58</v>
      </c>
      <c r="D17" s="12" t="s">
        <v>59</v>
      </c>
      <c r="E17" s="12" t="s">
        <v>60</v>
      </c>
      <c r="F17" s="12" t="s">
        <v>61</v>
      </c>
      <c r="G17" s="12" t="s">
        <v>62</v>
      </c>
      <c r="H17" s="12" t="s">
        <v>63</v>
      </c>
      <c r="I17" s="12" t="s">
        <v>64</v>
      </c>
      <c r="J17" s="12" t="s">
        <v>180</v>
      </c>
      <c r="K17" s="12" t="s">
        <v>66</v>
      </c>
      <c r="L17" s="12" t="s">
        <v>181</v>
      </c>
      <c r="M17" s="12" t="s">
        <v>182</v>
      </c>
      <c r="N17" s="12" t="s">
        <v>183</v>
      </c>
      <c r="O17" s="12" t="s">
        <v>70</v>
      </c>
      <c r="P17" s="13">
        <v>44764</v>
      </c>
      <c r="Q17" s="14">
        <f t="shared" ca="1" si="0"/>
        <v>40</v>
      </c>
      <c r="R17" s="13" t="s">
        <v>71</v>
      </c>
      <c r="S17" s="15">
        <v>45721</v>
      </c>
      <c r="T17" s="12">
        <v>20210001588</v>
      </c>
      <c r="U17" s="12" t="s">
        <v>72</v>
      </c>
      <c r="V17" s="12" t="s">
        <v>73</v>
      </c>
      <c r="W17" s="52">
        <v>7977061</v>
      </c>
      <c r="X17" s="16" t="s">
        <v>74</v>
      </c>
      <c r="Y17" s="16" t="s">
        <v>75</v>
      </c>
      <c r="Z17" s="16" t="s">
        <v>184</v>
      </c>
      <c r="AA17" s="16">
        <v>20210001753</v>
      </c>
      <c r="AB17" s="17">
        <v>44774</v>
      </c>
      <c r="AC17" s="50">
        <v>8131588</v>
      </c>
      <c r="AD17" s="17">
        <v>45139</v>
      </c>
      <c r="AE17" s="18">
        <f t="shared" ca="1" si="2"/>
        <v>40</v>
      </c>
      <c r="AF17" s="17" t="s">
        <v>71</v>
      </c>
      <c r="AG17" s="19" t="s">
        <v>77</v>
      </c>
      <c r="AH17" s="19">
        <v>16</v>
      </c>
      <c r="AI17" s="20" t="s">
        <v>78</v>
      </c>
      <c r="AJ17" s="20">
        <v>16</v>
      </c>
      <c r="AK17" s="55">
        <f t="shared" si="1"/>
        <v>16108649</v>
      </c>
      <c r="AL17" s="21" t="s">
        <v>79</v>
      </c>
      <c r="AM17" s="22" t="s">
        <v>80</v>
      </c>
      <c r="AN17" s="23">
        <v>45070</v>
      </c>
      <c r="AO17" s="21" t="s">
        <v>81</v>
      </c>
      <c r="AP17" s="21" t="s">
        <v>82</v>
      </c>
      <c r="AQ17" s="21" t="s">
        <v>83</v>
      </c>
      <c r="AR17" s="21" t="s">
        <v>80</v>
      </c>
      <c r="AS17" s="23">
        <v>45107</v>
      </c>
      <c r="AT17" s="21" t="s">
        <v>85</v>
      </c>
      <c r="AU17" s="21" t="s">
        <v>86</v>
      </c>
      <c r="AV17" s="21" t="s">
        <v>79</v>
      </c>
      <c r="AW17" s="21" t="s">
        <v>80</v>
      </c>
      <c r="AX17" s="21" t="s">
        <v>87</v>
      </c>
      <c r="AY17" s="21" t="s">
        <v>81</v>
      </c>
      <c r="AZ17" s="24" t="s">
        <v>88</v>
      </c>
      <c r="BA17" s="21"/>
      <c r="BB17" s="21"/>
      <c r="BC17" s="21"/>
      <c r="BD17" s="21"/>
      <c r="BE17" s="21"/>
    </row>
    <row r="18" spans="1:57" ht="59.25" customHeight="1" x14ac:dyDescent="0.45">
      <c r="A18" s="26" t="s">
        <v>185</v>
      </c>
      <c r="B18" s="27">
        <v>17</v>
      </c>
      <c r="C18" s="27" t="s">
        <v>58</v>
      </c>
      <c r="D18" s="27" t="s">
        <v>59</v>
      </c>
      <c r="E18" s="27" t="s">
        <v>60</v>
      </c>
      <c r="F18" s="27" t="s">
        <v>61</v>
      </c>
      <c r="G18" s="27" t="s">
        <v>62</v>
      </c>
      <c r="H18" s="27" t="s">
        <v>63</v>
      </c>
      <c r="I18" s="27" t="s">
        <v>64</v>
      </c>
      <c r="J18" s="27" t="s">
        <v>186</v>
      </c>
      <c r="K18" s="27" t="s">
        <v>66</v>
      </c>
      <c r="L18" s="27" t="s">
        <v>187</v>
      </c>
      <c r="M18" s="27" t="s">
        <v>188</v>
      </c>
      <c r="N18" s="27" t="s">
        <v>189</v>
      </c>
      <c r="O18" s="27" t="s">
        <v>70</v>
      </c>
      <c r="P18" s="28">
        <v>44764</v>
      </c>
      <c r="Q18" s="29">
        <f t="shared" ca="1" si="0"/>
        <v>40</v>
      </c>
      <c r="R18" s="28" t="s">
        <v>71</v>
      </c>
      <c r="S18" s="30">
        <v>45721</v>
      </c>
      <c r="T18" s="27">
        <v>20210001586</v>
      </c>
      <c r="U18" s="27" t="s">
        <v>72</v>
      </c>
      <c r="V18" s="27" t="s">
        <v>73</v>
      </c>
      <c r="W18" s="52">
        <v>7977061</v>
      </c>
      <c r="X18" s="31" t="s">
        <v>74</v>
      </c>
      <c r="Y18" s="31" t="s">
        <v>190</v>
      </c>
      <c r="Z18" s="31" t="s">
        <v>191</v>
      </c>
      <c r="AA18" s="31">
        <v>20210001882</v>
      </c>
      <c r="AB18" s="32">
        <v>44791</v>
      </c>
      <c r="AC18" s="54">
        <v>11187513</v>
      </c>
      <c r="AD18" s="32">
        <v>45156</v>
      </c>
      <c r="AE18" s="33">
        <f t="shared" ca="1" si="2"/>
        <v>39</v>
      </c>
      <c r="AF18" s="32" t="s">
        <v>71</v>
      </c>
      <c r="AG18" s="34" t="s">
        <v>77</v>
      </c>
      <c r="AH18" s="34">
        <v>17</v>
      </c>
      <c r="AI18" s="35" t="s">
        <v>78</v>
      </c>
      <c r="AJ18" s="35">
        <v>17</v>
      </c>
      <c r="AK18" s="56">
        <f t="shared" si="1"/>
        <v>19164574</v>
      </c>
      <c r="AL18" s="36" t="s">
        <v>79</v>
      </c>
      <c r="AM18" s="37" t="s">
        <v>80</v>
      </c>
      <c r="AN18" s="38">
        <v>45070</v>
      </c>
      <c r="AO18" s="36" t="s">
        <v>81</v>
      </c>
      <c r="AP18" s="36" t="s">
        <v>82</v>
      </c>
      <c r="AQ18" s="21" t="s">
        <v>83</v>
      </c>
      <c r="AR18" s="21" t="s">
        <v>80</v>
      </c>
      <c r="AS18" s="23">
        <v>45107</v>
      </c>
      <c r="AT18" s="21" t="s">
        <v>85</v>
      </c>
      <c r="AU18" s="21" t="s">
        <v>86</v>
      </c>
      <c r="AV18" s="21" t="s">
        <v>79</v>
      </c>
      <c r="AW18" s="21" t="s">
        <v>80</v>
      </c>
      <c r="AX18" s="21" t="s">
        <v>87</v>
      </c>
      <c r="AY18" s="21" t="s">
        <v>81</v>
      </c>
      <c r="AZ18" s="24" t="s">
        <v>88</v>
      </c>
      <c r="BA18" s="36"/>
      <c r="BB18" s="36"/>
      <c r="BC18" s="36"/>
      <c r="BD18" s="36"/>
      <c r="BE18" s="36"/>
    </row>
    <row r="19" spans="1:57" ht="59.25" hidden="1" customHeight="1" x14ac:dyDescent="0.3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9"/>
      <c r="R19" s="28"/>
      <c r="S19" s="28"/>
      <c r="T19" s="27"/>
      <c r="U19" s="27"/>
      <c r="V19" s="27"/>
      <c r="W19" s="58"/>
      <c r="X19" s="31"/>
      <c r="Y19" s="31"/>
      <c r="Z19" s="31"/>
      <c r="AA19" s="31"/>
      <c r="AB19" s="32"/>
      <c r="AC19" s="48"/>
      <c r="AD19" s="32"/>
      <c r="AE19" s="33"/>
      <c r="AF19" s="32"/>
      <c r="AG19" s="34"/>
      <c r="AH19" s="34"/>
      <c r="AI19" s="35"/>
      <c r="AJ19" s="35"/>
      <c r="AK19" s="56">
        <f>SUM(AK2:AK18)</f>
        <v>276902958</v>
      </c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59"/>
      <c r="BA19" s="36"/>
      <c r="BB19" s="36"/>
      <c r="BC19" s="36"/>
      <c r="BD19" s="36"/>
      <c r="BE19" s="3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0709-8898-4462-8E50-1D6C50FE6893}">
  <dimension ref="A1:BB7"/>
  <sheetViews>
    <sheetView tabSelected="1" topLeftCell="AC1" workbookViewId="0">
      <selection activeCell="AI2" sqref="AI2:AW6"/>
    </sheetView>
  </sheetViews>
  <sheetFormatPr baseColWidth="10" defaultColWidth="11.44140625" defaultRowHeight="47.25" customHeight="1" x14ac:dyDescent="0.3"/>
  <cols>
    <col min="1" max="1" width="16.6640625" style="10" customWidth="1"/>
    <col min="2" max="2" width="28.44140625" style="10" bestFit="1" customWidth="1"/>
    <col min="3" max="3" width="28.109375" style="10" bestFit="1" customWidth="1"/>
    <col min="4" max="4" width="33.109375" style="10" bestFit="1" customWidth="1"/>
    <col min="5" max="5" width="14.5546875" style="10" bestFit="1" customWidth="1"/>
    <col min="6" max="6" width="8.5546875" style="10" bestFit="1" customWidth="1"/>
    <col min="7" max="7" width="7.6640625" style="10" bestFit="1" customWidth="1"/>
    <col min="8" max="8" width="14.33203125" style="10" bestFit="1" customWidth="1"/>
    <col min="9" max="9" width="16.33203125" style="10" customWidth="1"/>
    <col min="10" max="10" width="13.33203125" style="10" bestFit="1" customWidth="1"/>
    <col min="11" max="11" width="18.44140625" style="10" bestFit="1" customWidth="1"/>
    <col min="12" max="12" width="27.109375" style="10" bestFit="1" customWidth="1"/>
    <col min="13" max="13" width="18.5546875" style="10" bestFit="1" customWidth="1"/>
    <col min="14" max="14" width="14.5546875" style="10" bestFit="1" customWidth="1"/>
    <col min="15" max="15" width="24.6640625" style="10" bestFit="1" customWidth="1"/>
    <col min="16" max="16" width="18.5546875" style="40" bestFit="1" customWidth="1"/>
    <col min="17" max="17" width="11" style="10" bestFit="1" customWidth="1"/>
    <col min="18" max="18" width="21.5546875" style="10" bestFit="1" customWidth="1"/>
    <col min="19" max="19" width="31.88671875" style="40" bestFit="1" customWidth="1"/>
    <col min="20" max="20" width="20.33203125" style="40" bestFit="1" customWidth="1"/>
    <col min="21" max="21" width="17.109375" style="10" bestFit="1" customWidth="1"/>
    <col min="22" max="22" width="22.88671875" style="10" bestFit="1" customWidth="1"/>
    <col min="23" max="23" width="17" style="10" customWidth="1"/>
    <col min="24" max="25" width="17.33203125" style="10" customWidth="1"/>
    <col min="26" max="26" width="14" style="10" bestFit="1" customWidth="1"/>
    <col min="27" max="27" width="13.6640625" style="10" bestFit="1" customWidth="1"/>
    <col min="28" max="28" width="21.44140625" style="10" customWidth="1"/>
    <col min="29" max="29" width="17.109375" style="10" bestFit="1" customWidth="1"/>
    <col min="30" max="30" width="26" style="10" bestFit="1" customWidth="1"/>
    <col min="31" max="32" width="14.44140625" style="10" bestFit="1" customWidth="1"/>
    <col min="33" max="34" width="14.109375" style="10" bestFit="1" customWidth="1"/>
    <col min="35" max="35" width="14.5546875" style="10" bestFit="1" customWidth="1"/>
    <col min="36" max="36" width="14.109375" style="10" bestFit="1" customWidth="1"/>
    <col min="37" max="37" width="15.6640625" style="10" customWidth="1"/>
    <col min="38" max="38" width="17.5546875" style="10" bestFit="1" customWidth="1"/>
    <col min="39" max="39" width="26" style="10" bestFit="1" customWidth="1"/>
    <col min="40" max="40" width="15.88671875" style="10" bestFit="1" customWidth="1"/>
    <col min="41" max="41" width="15.44140625" style="10" bestFit="1" customWidth="1"/>
    <col min="42" max="42" width="15.109375" style="10" customWidth="1"/>
    <col min="43" max="43" width="18.88671875" style="10" bestFit="1" customWidth="1"/>
    <col min="44" max="44" width="24.6640625" style="10" customWidth="1"/>
    <col min="45" max="45" width="15.88671875" style="10" bestFit="1" customWidth="1"/>
    <col min="46" max="46" width="15.44140625" style="10" bestFit="1" customWidth="1"/>
    <col min="47" max="47" width="23.6640625" style="10" customWidth="1"/>
    <col min="48" max="48" width="18.88671875" style="10" bestFit="1" customWidth="1"/>
    <col min="49" max="49" width="28.5546875" style="10" customWidth="1"/>
    <col min="50" max="51" width="13.6640625" style="10" bestFit="1" customWidth="1"/>
    <col min="52" max="52" width="10.6640625" style="10" bestFit="1" customWidth="1"/>
    <col min="53" max="54" width="13.6640625" style="10" bestFit="1" customWidth="1"/>
    <col min="55" max="16384" width="11.44140625" style="10"/>
  </cols>
  <sheetData>
    <row r="1" spans="1:54" ht="47.25" customHeight="1" x14ac:dyDescent="0.3">
      <c r="A1" s="27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9" t="s">
        <v>192</v>
      </c>
      <c r="Q1" s="27" t="s">
        <v>17</v>
      </c>
      <c r="R1" s="27" t="s">
        <v>18</v>
      </c>
      <c r="S1" s="29" t="s">
        <v>193</v>
      </c>
      <c r="T1" s="29" t="s">
        <v>194</v>
      </c>
      <c r="U1" s="27" t="s">
        <v>19</v>
      </c>
      <c r="V1" s="27" t="s">
        <v>1</v>
      </c>
      <c r="W1" s="27" t="s">
        <v>20</v>
      </c>
      <c r="X1" s="27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43" t="s">
        <v>32</v>
      </c>
      <c r="AF1" s="43" t="s">
        <v>33</v>
      </c>
      <c r="AG1" s="44" t="s">
        <v>34</v>
      </c>
      <c r="AH1" s="45" t="s">
        <v>35</v>
      </c>
      <c r="AI1" s="41" t="s">
        <v>37</v>
      </c>
      <c r="AJ1" s="41" t="s">
        <v>38</v>
      </c>
      <c r="AK1" s="41" t="s">
        <v>39</v>
      </c>
      <c r="AL1" s="41" t="s">
        <v>40</v>
      </c>
      <c r="AM1" s="41" t="s">
        <v>41</v>
      </c>
      <c r="AN1" s="41" t="s">
        <v>42</v>
      </c>
      <c r="AO1" s="41" t="s">
        <v>43</v>
      </c>
      <c r="AP1" s="41" t="s">
        <v>44</v>
      </c>
      <c r="AQ1" s="41" t="s">
        <v>45</v>
      </c>
      <c r="AR1" s="41" t="s">
        <v>46</v>
      </c>
      <c r="AS1" s="41" t="s">
        <v>47</v>
      </c>
      <c r="AT1" s="41" t="s">
        <v>48</v>
      </c>
      <c r="AU1" s="41" t="s">
        <v>49</v>
      </c>
      <c r="AV1" s="41" t="s">
        <v>50</v>
      </c>
      <c r="AW1" s="41" t="s">
        <v>51</v>
      </c>
      <c r="AX1" s="42" t="s">
        <v>52</v>
      </c>
      <c r="AY1" s="42" t="s">
        <v>53</v>
      </c>
      <c r="AZ1" s="42" t="s">
        <v>54</v>
      </c>
      <c r="BA1" s="42" t="s">
        <v>55</v>
      </c>
      <c r="BB1" s="42" t="s">
        <v>56</v>
      </c>
    </row>
    <row r="2" spans="1:54" ht="47.25" customHeight="1" x14ac:dyDescent="0.3">
      <c r="A2" s="12" t="s">
        <v>195</v>
      </c>
      <c r="B2" s="12" t="s">
        <v>196</v>
      </c>
      <c r="C2" s="12" t="s">
        <v>197</v>
      </c>
      <c r="D2" s="12" t="s">
        <v>198</v>
      </c>
      <c r="E2" s="12" t="s">
        <v>199</v>
      </c>
      <c r="F2" s="12" t="s">
        <v>200</v>
      </c>
      <c r="G2" s="12" t="s">
        <v>201</v>
      </c>
      <c r="H2" s="12" t="s">
        <v>64</v>
      </c>
      <c r="I2" s="12" t="s">
        <v>202</v>
      </c>
      <c r="J2" s="12" t="s">
        <v>203</v>
      </c>
      <c r="K2" s="12" t="s">
        <v>204</v>
      </c>
      <c r="L2" s="12" t="s">
        <v>205</v>
      </c>
      <c r="M2" s="12" t="s">
        <v>206</v>
      </c>
      <c r="N2" s="12" t="s">
        <v>207</v>
      </c>
      <c r="O2" s="13">
        <v>44939</v>
      </c>
      <c r="P2" s="14">
        <f t="shared" ref="P2:P6" ca="1" si="0">DATEDIF(O2,TODAY(),"m")</f>
        <v>34</v>
      </c>
      <c r="Q2" s="13" t="s">
        <v>71</v>
      </c>
      <c r="R2" s="13">
        <v>46247</v>
      </c>
      <c r="S2" s="14">
        <f t="shared" ref="S2:S6" ca="1" si="1">DATEDIF(TODAY(),R2,"D")</f>
        <v>250</v>
      </c>
      <c r="T2" s="14">
        <f>DATEDIF(O2,R2,"d")</f>
        <v>1308</v>
      </c>
      <c r="U2" s="12">
        <v>20210003295</v>
      </c>
      <c r="V2" s="12">
        <v>1</v>
      </c>
      <c r="W2" s="12" t="s">
        <v>72</v>
      </c>
      <c r="X2" s="12" t="s">
        <v>73</v>
      </c>
      <c r="Y2" s="46">
        <v>6019042</v>
      </c>
      <c r="Z2" s="16" t="s">
        <v>208</v>
      </c>
      <c r="AA2" s="16" t="s">
        <v>209</v>
      </c>
      <c r="AB2" s="16" t="s">
        <v>210</v>
      </c>
      <c r="AC2" s="16">
        <v>20210003295</v>
      </c>
      <c r="AD2" s="17">
        <v>44939</v>
      </c>
      <c r="AE2" s="19" t="s">
        <v>211</v>
      </c>
      <c r="AF2" s="19">
        <v>1</v>
      </c>
      <c r="AG2" s="20" t="s">
        <v>78</v>
      </c>
      <c r="AH2" s="20">
        <v>1</v>
      </c>
      <c r="AI2" s="21"/>
      <c r="AJ2" s="21"/>
      <c r="AK2" s="23"/>
      <c r="AL2" s="21"/>
      <c r="AM2" s="21"/>
      <c r="AN2" s="21"/>
      <c r="AO2" s="21"/>
      <c r="AP2" s="23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</row>
    <row r="3" spans="1:54" ht="47.25" customHeight="1" x14ac:dyDescent="0.3">
      <c r="A3" s="12" t="s">
        <v>212</v>
      </c>
      <c r="B3" s="12" t="s">
        <v>196</v>
      </c>
      <c r="C3" s="12" t="s">
        <v>197</v>
      </c>
      <c r="D3" s="12" t="s">
        <v>198</v>
      </c>
      <c r="E3" s="12" t="s">
        <v>199</v>
      </c>
      <c r="F3" s="12" t="s">
        <v>200</v>
      </c>
      <c r="G3" s="12" t="s">
        <v>201</v>
      </c>
      <c r="H3" s="12" t="s">
        <v>64</v>
      </c>
      <c r="I3" s="12" t="s">
        <v>213</v>
      </c>
      <c r="J3" s="12" t="s">
        <v>203</v>
      </c>
      <c r="K3" s="12" t="s">
        <v>214</v>
      </c>
      <c r="L3" s="12" t="s">
        <v>215</v>
      </c>
      <c r="M3" s="12" t="s">
        <v>216</v>
      </c>
      <c r="N3" s="12" t="s">
        <v>207</v>
      </c>
      <c r="O3" s="13">
        <v>44939</v>
      </c>
      <c r="P3" s="14">
        <f t="shared" ca="1" si="0"/>
        <v>34</v>
      </c>
      <c r="Q3" s="13" t="s">
        <v>71</v>
      </c>
      <c r="R3" s="13">
        <v>46247</v>
      </c>
      <c r="S3" s="14">
        <f t="shared" ca="1" si="1"/>
        <v>250</v>
      </c>
      <c r="T3" s="14">
        <f t="shared" ref="T3:T6" si="2">DATEDIF(O3,R3,"d")</f>
        <v>1308</v>
      </c>
      <c r="U3" s="12">
        <v>20210003296</v>
      </c>
      <c r="V3" s="12">
        <v>2</v>
      </c>
      <c r="W3" s="12" t="s">
        <v>72</v>
      </c>
      <c r="X3" s="12" t="s">
        <v>73</v>
      </c>
      <c r="Y3" s="46">
        <v>6019042</v>
      </c>
      <c r="Z3" s="16" t="s">
        <v>208</v>
      </c>
      <c r="AA3" s="16" t="s">
        <v>209</v>
      </c>
      <c r="AB3" s="16" t="s">
        <v>217</v>
      </c>
      <c r="AC3" s="16">
        <v>20210003296</v>
      </c>
      <c r="AD3" s="17">
        <v>44939</v>
      </c>
      <c r="AE3" s="19" t="s">
        <v>77</v>
      </c>
      <c r="AF3" s="19">
        <v>2</v>
      </c>
      <c r="AG3" s="20" t="s">
        <v>78</v>
      </c>
      <c r="AH3" s="20">
        <v>2</v>
      </c>
      <c r="AI3" s="21"/>
      <c r="AJ3" s="21"/>
      <c r="AK3" s="23"/>
      <c r="AL3" s="21"/>
      <c r="AM3" s="21"/>
      <c r="AN3" s="21"/>
      <c r="AO3" s="21"/>
      <c r="AP3" s="23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</row>
    <row r="4" spans="1:54" ht="47.25" customHeight="1" x14ac:dyDescent="0.3">
      <c r="A4" s="12" t="s">
        <v>218</v>
      </c>
      <c r="B4" s="12" t="s">
        <v>196</v>
      </c>
      <c r="C4" s="12" t="s">
        <v>197</v>
      </c>
      <c r="D4" s="12" t="s">
        <v>60</v>
      </c>
      <c r="E4" s="12" t="s">
        <v>199</v>
      </c>
      <c r="F4" s="12" t="s">
        <v>200</v>
      </c>
      <c r="G4" s="12" t="s">
        <v>201</v>
      </c>
      <c r="H4" s="12" t="s">
        <v>64</v>
      </c>
      <c r="I4" s="12" t="s">
        <v>219</v>
      </c>
      <c r="J4" s="12" t="s">
        <v>203</v>
      </c>
      <c r="K4" s="12" t="s">
        <v>220</v>
      </c>
      <c r="L4" s="12" t="s">
        <v>221</v>
      </c>
      <c r="M4" s="12" t="s">
        <v>222</v>
      </c>
      <c r="N4" s="12" t="s">
        <v>207</v>
      </c>
      <c r="O4" s="13">
        <v>44939</v>
      </c>
      <c r="P4" s="14">
        <f t="shared" ca="1" si="0"/>
        <v>34</v>
      </c>
      <c r="Q4" s="13" t="s">
        <v>71</v>
      </c>
      <c r="R4" s="13">
        <v>46247</v>
      </c>
      <c r="S4" s="14">
        <f t="shared" ca="1" si="1"/>
        <v>250</v>
      </c>
      <c r="T4" s="14">
        <f t="shared" si="2"/>
        <v>1308</v>
      </c>
      <c r="U4" s="12">
        <v>20210003299</v>
      </c>
      <c r="V4" s="12">
        <v>3</v>
      </c>
      <c r="W4" s="12" t="s">
        <v>72</v>
      </c>
      <c r="X4" s="12" t="s">
        <v>73</v>
      </c>
      <c r="Y4" s="46">
        <v>6019042</v>
      </c>
      <c r="Z4" s="16" t="s">
        <v>208</v>
      </c>
      <c r="AA4" s="16" t="s">
        <v>209</v>
      </c>
      <c r="AB4" s="16" t="s">
        <v>223</v>
      </c>
      <c r="AC4" s="16">
        <v>20210003299</v>
      </c>
      <c r="AD4" s="17">
        <v>44939</v>
      </c>
      <c r="AE4" s="19" t="s">
        <v>77</v>
      </c>
      <c r="AF4" s="19">
        <v>3</v>
      </c>
      <c r="AG4" s="20" t="s">
        <v>78</v>
      </c>
      <c r="AH4" s="20">
        <v>3</v>
      </c>
      <c r="AI4" s="21"/>
      <c r="AJ4" s="21"/>
      <c r="AK4" s="23"/>
      <c r="AL4" s="21"/>
      <c r="AM4" s="21"/>
      <c r="AN4" s="21"/>
      <c r="AO4" s="21"/>
      <c r="AP4" s="23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</row>
    <row r="5" spans="1:54" ht="47.25" customHeight="1" x14ac:dyDescent="0.3">
      <c r="A5" s="12" t="s">
        <v>224</v>
      </c>
      <c r="B5" s="12" t="s">
        <v>196</v>
      </c>
      <c r="C5" s="12" t="s">
        <v>197</v>
      </c>
      <c r="D5" s="12" t="s">
        <v>198</v>
      </c>
      <c r="E5" s="12" t="s">
        <v>199</v>
      </c>
      <c r="F5" s="12" t="s">
        <v>200</v>
      </c>
      <c r="G5" s="12" t="s">
        <v>201</v>
      </c>
      <c r="H5" s="12" t="s">
        <v>64</v>
      </c>
      <c r="I5" s="12" t="s">
        <v>225</v>
      </c>
      <c r="J5" s="12" t="s">
        <v>203</v>
      </c>
      <c r="K5" s="12" t="s">
        <v>181</v>
      </c>
      <c r="L5" s="12" t="s">
        <v>226</v>
      </c>
      <c r="M5" s="12" t="s">
        <v>227</v>
      </c>
      <c r="N5" s="12" t="s">
        <v>207</v>
      </c>
      <c r="O5" s="13">
        <v>44939</v>
      </c>
      <c r="P5" s="14">
        <f t="shared" ca="1" si="0"/>
        <v>34</v>
      </c>
      <c r="Q5" s="13" t="s">
        <v>71</v>
      </c>
      <c r="R5" s="13">
        <v>46247</v>
      </c>
      <c r="S5" s="14">
        <f t="shared" ca="1" si="1"/>
        <v>250</v>
      </c>
      <c r="T5" s="14">
        <f t="shared" si="2"/>
        <v>1308</v>
      </c>
      <c r="U5" s="12">
        <v>20210003300</v>
      </c>
      <c r="V5" s="12">
        <v>4</v>
      </c>
      <c r="W5" s="12" t="s">
        <v>72</v>
      </c>
      <c r="X5" s="12" t="s">
        <v>73</v>
      </c>
      <c r="Y5" s="46">
        <v>6019042</v>
      </c>
      <c r="Z5" s="16" t="s">
        <v>208</v>
      </c>
      <c r="AA5" s="16" t="s">
        <v>209</v>
      </c>
      <c r="AB5" s="16" t="s">
        <v>228</v>
      </c>
      <c r="AC5" s="16">
        <v>20210003300</v>
      </c>
      <c r="AD5" s="17">
        <v>44939</v>
      </c>
      <c r="AE5" s="19" t="s">
        <v>77</v>
      </c>
      <c r="AF5" s="19">
        <v>4</v>
      </c>
      <c r="AG5" s="20" t="s">
        <v>78</v>
      </c>
      <c r="AH5" s="20">
        <v>4</v>
      </c>
      <c r="AI5" s="21"/>
      <c r="AJ5" s="21"/>
      <c r="AK5" s="23"/>
      <c r="AL5" s="21"/>
      <c r="AM5" s="21"/>
      <c r="AN5" s="21"/>
      <c r="AO5" s="21"/>
      <c r="AP5" s="23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</row>
    <row r="6" spans="1:54" ht="47.25" customHeight="1" x14ac:dyDescent="0.3">
      <c r="A6" s="12" t="s">
        <v>229</v>
      </c>
      <c r="B6" s="12" t="s">
        <v>196</v>
      </c>
      <c r="C6" s="12" t="s">
        <v>197</v>
      </c>
      <c r="D6" s="12" t="s">
        <v>60</v>
      </c>
      <c r="E6" s="12" t="s">
        <v>199</v>
      </c>
      <c r="F6" s="12" t="s">
        <v>200</v>
      </c>
      <c r="G6" s="12" t="s">
        <v>201</v>
      </c>
      <c r="H6" s="12" t="s">
        <v>64</v>
      </c>
      <c r="I6" s="12" t="s">
        <v>230</v>
      </c>
      <c r="J6" s="12" t="s">
        <v>203</v>
      </c>
      <c r="K6" s="12" t="s">
        <v>231</v>
      </c>
      <c r="L6" s="12" t="s">
        <v>232</v>
      </c>
      <c r="M6" s="12" t="s">
        <v>233</v>
      </c>
      <c r="N6" s="12" t="s">
        <v>207</v>
      </c>
      <c r="O6" s="13">
        <v>44939</v>
      </c>
      <c r="P6" s="14">
        <f t="shared" ca="1" si="0"/>
        <v>34</v>
      </c>
      <c r="Q6" s="13" t="s">
        <v>71</v>
      </c>
      <c r="R6" s="13">
        <v>46247</v>
      </c>
      <c r="S6" s="14">
        <f t="shared" ca="1" si="1"/>
        <v>250</v>
      </c>
      <c r="T6" s="14">
        <f t="shared" si="2"/>
        <v>1308</v>
      </c>
      <c r="U6" s="12">
        <v>20210003298</v>
      </c>
      <c r="V6" s="12">
        <v>5</v>
      </c>
      <c r="W6" s="12" t="s">
        <v>72</v>
      </c>
      <c r="X6" s="12" t="s">
        <v>73</v>
      </c>
      <c r="Y6" s="46">
        <v>6019042</v>
      </c>
      <c r="Z6" s="16" t="s">
        <v>208</v>
      </c>
      <c r="AA6" s="16" t="s">
        <v>209</v>
      </c>
      <c r="AB6" s="16" t="s">
        <v>234</v>
      </c>
      <c r="AC6" s="16">
        <v>20210003298</v>
      </c>
      <c r="AD6" s="17">
        <v>44939</v>
      </c>
      <c r="AE6" s="19" t="s">
        <v>77</v>
      </c>
      <c r="AF6" s="19">
        <v>5</v>
      </c>
      <c r="AG6" s="20" t="s">
        <v>78</v>
      </c>
      <c r="AH6" s="20">
        <v>5</v>
      </c>
      <c r="AI6" s="21"/>
      <c r="AJ6" s="21"/>
      <c r="AK6" s="23"/>
      <c r="AL6" s="21"/>
      <c r="AM6" s="21"/>
      <c r="AN6" s="21"/>
      <c r="AO6" s="21"/>
      <c r="AP6" s="23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</row>
    <row r="7" spans="1:54" ht="47.25" hidden="1" customHeight="1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9"/>
      <c r="Q7" s="28"/>
      <c r="R7" s="28"/>
      <c r="S7" s="29"/>
      <c r="T7" s="29"/>
      <c r="U7" s="27"/>
      <c r="V7" s="27"/>
      <c r="W7" s="27"/>
      <c r="X7" s="27"/>
      <c r="Y7" s="60">
        <f>SUM(Y2:Y6)</f>
        <v>30095210</v>
      </c>
      <c r="Z7" s="31"/>
      <c r="AA7" s="31"/>
      <c r="AB7" s="31"/>
      <c r="AC7" s="31"/>
      <c r="AD7" s="32"/>
      <c r="AE7" s="34"/>
      <c r="AF7" s="34"/>
      <c r="AG7" s="35"/>
      <c r="AH7" s="35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3B9E11ACAB6A4DBC5632D233AB12F7" ma:contentTypeVersion="12" ma:contentTypeDescription="Crear nuevo documento." ma:contentTypeScope="" ma:versionID="d2386201dd70b8a3b827862683193a68">
  <xsd:schema xmlns:xsd="http://www.w3.org/2001/XMLSchema" xmlns:xs="http://www.w3.org/2001/XMLSchema" xmlns:p="http://schemas.microsoft.com/office/2006/metadata/properties" xmlns:ns2="67a2a7c2-b9cf-491e-8565-d3c254418bac" xmlns:ns3="eec306b4-3abc-484f-8f47-e8911fcb5c4d" targetNamespace="http://schemas.microsoft.com/office/2006/metadata/properties" ma:root="true" ma:fieldsID="343d0129b819e270620e0634923f5729" ns2:_="" ns3:_="">
    <xsd:import namespace="67a2a7c2-b9cf-491e-8565-d3c254418bac"/>
    <xsd:import namespace="eec306b4-3abc-484f-8f47-e8911fcb5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2a7c2-b9cf-491e-8565-d3c254418b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7fc3e9-35d6-4d4c-b70b-771b44725f38}" ma:internalName="TaxCatchAll" ma:showField="CatchAllData" ma:web="67a2a7c2-b9cf-491e-8565-d3c254418b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306b4-3abc-484f-8f47-e8911fcb5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a2a7c2-b9cf-491e-8565-d3c254418bac" xsi:nil="true"/>
    <lcf76f155ced4ddcb4097134ff3c332f xmlns="eec306b4-3abc-484f-8f47-e8911fcb5c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DE4F09-476A-4054-95D8-BDB31925D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2a7c2-b9cf-491e-8565-d3c254418bac"/>
    <ds:schemaRef ds:uri="eec306b4-3abc-484f-8f47-e8911fcb5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BF7EEC-6B6B-487D-A7E7-DF095168CB18}">
  <ds:schemaRefs>
    <ds:schemaRef ds:uri="http://schemas.microsoft.com/office/2006/metadata/properties"/>
    <ds:schemaRef ds:uri="http://schemas.microsoft.com/office/infopath/2007/PartnerControls"/>
    <ds:schemaRef ds:uri="67a2a7c2-b9cf-491e-8565-d3c254418bac"/>
    <ds:schemaRef ds:uri="eec306b4-3abc-484f-8f47-e8911fcb5c4d"/>
  </ds:schemaRefs>
</ds:datastoreItem>
</file>

<file path=customXml/itemProps3.xml><?xml version="1.0" encoding="utf-8"?>
<ds:datastoreItem xmlns:ds="http://schemas.openxmlformats.org/officeDocument/2006/customXml" ds:itemID="{07BC03AF-CD34-476D-81B8-2AFDA0396F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T201 Digital</vt:lpstr>
      <vt:lpstr>T201 Analogo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Andres Cantor Moya</dc:creator>
  <cp:keywords/>
  <dc:description/>
  <cp:lastModifiedBy>Cantor Moya Sergio Andres</cp:lastModifiedBy>
  <cp:revision/>
  <dcterms:created xsi:type="dcterms:W3CDTF">2023-05-24T18:03:20Z</dcterms:created>
  <dcterms:modified xsi:type="dcterms:W3CDTF">2025-12-07T00:07:25Z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0x010100103B9E11ACAB6A4DBC5632D233AB12F7</vt:lpwstr>
  </property>
  <property fmtid="{D5CDD505-2E9C-101B-9397-08002B2CF9AE}" pid="3" name="MediaServiceImageTags">
    <vt:lpwstr/>
  </property>
</Properties>
</file>